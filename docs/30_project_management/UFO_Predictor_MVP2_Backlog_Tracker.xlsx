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499e4f1b1647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3d2a4df8278440b"/>
    <x:sheet xmlns:r="http://schemas.openxmlformats.org/officeDocument/2006/relationships" name="MVP2 Backlog" sheetId="2" r:id="Ra8409a9156c547fd"/>
    <x:sheet xmlns:r="http://schemas.openxmlformats.org/officeDocument/2006/relationships" name="Branches &amp; Environments" sheetId="3" r:id="Ra377e906ae3c42bf"/>
    <x:sheet xmlns:r="http://schemas.openxmlformats.org/officeDocument/2006/relationships" name="Ops Automation" sheetId="4" r:id="Rad2cb13ce8e34ba2"/>
    <x:sheet xmlns:r="http://schemas.openxmlformats.org/officeDocument/2006/relationships" name="Decisions" sheetId="5" r:id="R5ca59cadc1484872"/>
    <x:sheet xmlns:r="http://schemas.openxmlformats.org/officeDocument/2006/relationships" name="V2 Source Registry" sheetId="6" r:id="Rc7aaad7cd4024d60"/>
    <x:sheet xmlns:r="http://schemas.openxmlformats.org/officeDocument/2006/relationships" name="Legacy Backlog" sheetId="7" r:id="Ra0e2e39a313f4191"/>
    <x:sheet xmlns:r="http://schemas.openxmlformats.org/officeDocument/2006/relationships" name="MVP1 Roadmap History" sheetId="8" r:id="Raea45d1ba61041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8"/>
      <x:color rgb="FFFFFFFF"/>
      <x:name val="Carlito"/>
    </x:font>
    <x:font>
      <x:sz val="11"/>
      <x:color rgb="FFB8D4E6"/>
      <x:name val="Carlito"/>
    </x:font>
    <x:font>
      <x:b/>
      <x:sz val="11"/>
      <x:color rgb="FF9BDFF4"/>
      <x:name val="Carlito"/>
    </x:font>
    <x:font>
      <x:b/>
      <x:sz val="16"/>
      <x:color rgb="FF22D3EE"/>
      <x:name val="Carlito"/>
    </x:font>
    <x:font>
      <x:b/>
      <x:sz val="11"/>
      <x:color rgb="FFFFFFFF"/>
      <x:name val="Carlito"/>
    </x:font>
    <x:font>
      <x:sz val="11"/>
      <x:color rgb="FFD7E8F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6131F"/>
      </x:patternFill>
    </x:fill>
    <x:fill>
      <x:patternFill patternType="solid">
        <x:fgColor rgb="FF0E263B"/>
      </x:patternFill>
    </x:fill>
    <x:fill>
      <x:patternFill patternType="solid">
        <x:fgColor rgb="FF0B2236"/>
      </x:patternFill>
    </x:fill>
    <x:fill>
      <x:patternFill patternType="solid">
        <x:fgColor rgb="FF0A1928"/>
      </x:patternFill>
    </x:fill>
    <x:fill>
      <x:patternFill patternType="solid">
        <x:fgColor rgb="FF12304A"/>
      </x:patternFill>
    </x:fill>
  </x:fills>
  <x:borders count="1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bottom/>
    </x:border>
    <x:border>
      <x:bottom/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horizontal="center" wrapText="1"/>
    </x:xf>
    <x:xf numFmtId="0" fontId="5" fillId="6" borderId="4" xfId="0" applyNumberFormat="1" applyFont="1" applyFill="1" applyBorder="1" applyAlignment="1">
      <x:alignment horizont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horizontal="center" wrapText="1"/>
    </x:xf>
    <x:xf numFmtId="0" fontId="5" fillId="6" borderId="6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/>
    <x:xf numFmtId="0" fontId="6" fillId="5" borderId="8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8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/>
    <x:xf numFmtId="0" fontId="6" fillId="5" borderId="9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top" wrapText="1"/>
    </x:xf>
    <x:xf numFmtId="200" fontId="6" fillId="5" borderId="0" xfId="0" applyNumberFormat="1" applyFont="1" applyFill="1" applyBorder="1" applyAlignment="1">
      <x:alignment vertical="top" wrapText="1"/>
    </x:xf>
    <x:xf numFmtId="200" fontId="6" fillId="5" borderId="8" xfId="0" applyNumberFormat="1" applyFont="1" applyFill="1" applyBorder="1" applyAlignment="1">
      <x:alignment vertical="top" wrapText="1"/>
    </x:xf>
    <x:xf numFmtId="200" fontId="6" fillId="5" borderId="1" xfId="0" applyNumberFormat="1" applyFont="1" applyFill="1" applyBorder="1" applyAlignment="1">
      <x:alignment vertical="top" wrapText="1"/>
    </x:xf>
    <x:xf numFmtId="200" fontId="6" fillId="5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D1FAE5"/>
      </x:font>
      <x:fill>
        <x:patternFill patternType="solid">
          <x:bgColor rgb="FF0F5132"/>
        </x:patternFill>
      </x:fill>
    </x:dxf>
    <x:dxf>
      <x:font>
        <x:b/>
        <x:color rgb="FFCFFAFE"/>
      </x:font>
      <x:fill>
        <x:patternFill patternType="solid">
          <x:bgColor rgb="FF164E63"/>
        </x:patternFill>
      </x:fill>
    </x:dxf>
    <x:dxf>
      <x:font>
        <x:b/>
        <x:color rgb="FFDBEAFE"/>
      </x:font>
      <x:fill>
        <x:patternFill patternType="solid">
          <x:bgColor rgb="FF1E3A5F"/>
        </x:patternFill>
      </x:fill>
    </x:dxf>
    <x:dxf>
      <x:font>
        <x:b/>
        <x:color rgb="FFFEE2E2"/>
      </x:font>
      <x:fill>
        <x:patternFill patternType="solid">
          <x:bgColor rgb="FF7F1D1D"/>
        </x:patternFill>
      </x:fill>
    </x:dxf>
    <x:dxf>
      <x:font>
        <x:b/>
        <x:color rgb="FFFEF3C7"/>
      </x:font>
      <x:fill>
        <x:patternFill patternType="solid">
          <x:bgColor rgb="FF713F12"/>
        </x:patternFill>
      </x:fill>
    </x:dxf>
    <x:dxf>
      <x:font>
        <x:color rgb="FFE4E4E7"/>
      </x:font>
      <x:fill>
        <x:patternFill patternType="solid">
          <x:bgColor rgb="FF3F3F46"/>
        </x:patternFill>
      </x:fill>
    </x:dxf>
    <x:dxf>
      <x:font>
        <x:b/>
        <x:color rgb="FFFFFFFF"/>
      </x:font>
      <x:fill>
        <x:patternFill patternType="solid">
          <x:bgColor rgb="FF7F1D1D"/>
        </x:patternFill>
      </x:fill>
    </x:dxf>
    <x:dxf>
      <x:font>
        <x:b/>
        <x:color rgb="FFFEF3C7"/>
      </x:font>
      <x:fill>
        <x:patternFill patternType="solid">
          <x:bgColor rgb="FF713F1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c0e29ce6634999" /><Relationship Type="http://schemas.openxmlformats.org/officeDocument/2006/relationships/theme" Target="/xl/theme/theme1.xml" Id="R0a18a0e372e942d1" /><Relationship Type="http://schemas.openxmlformats.org/officeDocument/2006/relationships/sharedStrings" Target="/xl/sharedStrings.xml" Id="R5e95a118fa6a438d" /><Relationship Type="http://schemas.openxmlformats.org/officeDocument/2006/relationships/worksheet" Target="/xl/worksheets/sheet1.xml" Id="R23d2a4df8278440b" /><Relationship Type="http://schemas.openxmlformats.org/officeDocument/2006/relationships/worksheet" Target="/xl/worksheets/sheet2.xml" Id="Ra8409a9156c547fd" /><Relationship Type="http://schemas.openxmlformats.org/officeDocument/2006/relationships/worksheet" Target="/xl/worksheets/sheet3.xml" Id="Ra377e906ae3c42bf" /><Relationship Type="http://schemas.openxmlformats.org/officeDocument/2006/relationships/worksheet" Target="/xl/worksheets/sheet4.xml" Id="Rad2cb13ce8e34ba2" /><Relationship Type="http://schemas.openxmlformats.org/officeDocument/2006/relationships/worksheet" Target="/xl/worksheets/sheet5.xml" Id="R5ca59cadc1484872" /><Relationship Type="http://schemas.openxmlformats.org/officeDocument/2006/relationships/worksheet" Target="/xl/worksheets/sheet6.xml" Id="Rc7aaad7cd4024d60" /><Relationship Type="http://schemas.openxmlformats.org/officeDocument/2006/relationships/worksheet" Target="/xl/worksheets/sheet7.xml" Id="Ra0e2e39a313f4191" /><Relationship Type="http://schemas.openxmlformats.org/officeDocument/2006/relationships/worksheet" Target="/xl/worksheets/sheet8.xml" Id="Raea45d1ba610413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bcbd6062e8442c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MVP2 tasks by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'Dashboard'!$A$9:$A$15</c:f>
              <c:strCache>
                <c:ptCount val="0"/>
              </c:strCache>
            </c:strRef>
          </c:cat>
          <c:val>
            <c:numRef>
              <c:f>'Dashboard'!$B$9:$B$15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cbd6062e8442c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VP2BacklogTable" displayName="MVP2BacklogTable" ref="A1:R46" headerRowCount="1">
  <x:tableColumns count="18">
    <x:tableColumn id="1" name="ID"/>
    <x:tableColumn id="2" name="Epic"/>
    <x:tableColumn id="3" name="Track"/>
    <x:tableColumn id="4" name="Priority"/>
    <x:tableColumn id="5" name="Task"/>
    <x:tableColumn id="6" name="Deliverable / Description"/>
    <x:tableColumn id="7" name="Owner"/>
    <x:tableColumn id="8" name="Status"/>
    <x:tableColumn id="9" name="Dependencies"/>
    <x:tableColumn id="10" name="Base branch"/>
    <x:tableColumn id="11" name="Suggested branch"/>
    <x:tableColumn id="12" name="Environment"/>
    <x:tableColumn id="13" name="Parallel?"/>
    <x:tableColumn id="14" name="Blocks production?"/>
    <x:tableColumn id="15" name="Acceptance criteria"/>
    <x:tableColumn id="16" name="Evidence / PR"/>
    <x:tableColumn id="17" name="Estimate (pts)"/>
    <x:tableColumn id="1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BranchesEnvironmentsTable" displayName="BranchesEnvironmentsTable" ref="A1:G8" headerRowCount="1">
  <x:tableColumns count="7">
    <x:tableColumn id="1" name="Workspace / Branch"/>
    <x:tableColumn id="2" name="Purpose"/>
    <x:tableColumn id="3" name="Base"/>
    <x:tableColumn id="4" name="Deploy target"/>
    <x:tableColumn id="5" name="Database"/>
    <x:tableColumn id="6" name="Writes allowed"/>
    <x:tableColumn id="7" name="Rules"/>
  </x:tableColumns>
  <x:tableStyleInfo name="TableStyleMedium2" showRowStripes="1"/>
</x:table>
</file>

<file path=xl/tables/table3.xml><?xml version="1.0" encoding="utf-8"?>
<x:table xmlns:x="http://schemas.openxmlformats.org/spreadsheetml/2006/main" id="3" name="OpsAutomationTable" displayName="OpsAutomationTable" ref="A1:G10" headerRowCount="1">
  <x:tableColumns count="7">
    <x:tableColumn id="1" name="Process"/>
    <x:tableColumn id="2" name="Current MVP1"/>
    <x:tableColumn id="3" name="MVP2 increment"/>
    <x:tableColumn id="4" name="Target cadence"/>
    <x:tableColumn id="5" name="Human gate"/>
    <x:tableColumn id="6" name="Environment"/>
    <x:tableColumn id="7" name="Acceptance evidence"/>
  </x:tableColumns>
  <x:tableStyleInfo name="TableStyleMedium2" showRowStripes="1"/>
</x:table>
</file>

<file path=xl/tables/table4.xml><?xml version="1.0" encoding="utf-8"?>
<x:table xmlns:x="http://schemas.openxmlformats.org/spreadsheetml/2006/main" id="4" name="DecisionsTable" displayName="DecisionsTable" ref="A1:G10" headerRowCount="1">
  <x:tableColumns count="7">
    <x:tableColumn id="1" name="Decision ID"/>
    <x:tableColumn id="2" name="Topic"/>
    <x:tableColumn id="3" name="Status"/>
    <x:tableColumn id="4" name="Decision / question"/>
    <x:tableColumn id="5" name="Owner"/>
    <x:tableColumn id="6" name="Due gate"/>
    <x:tableColumn id="7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V2SourceRegistryTable" displayName="V2SourceRegistryTable" ref="A1:F8" headerRowCount="1">
  <x:tableColumns count="6">
    <x:tableColumn id="1" name="Asset / Path"/>
    <x:tableColumn id="2" name="Type"/>
    <x:tableColumn id="3" name="Tracked in Git?"/>
    <x:tableColumn id="4" name="Current role"/>
    <x:tableColumn id="5" name="Retention / exit rule"/>
    <x:tableColumn id="6" name="Verification status"/>
  </x:tableColumns>
  <x:tableStyleInfo name="TableStyleMedium2" showRowStripes="1"/>
</x:table>
</file>

<file path=xl/tables/table6.xml><?xml version="1.0" encoding="utf-8"?>
<x:table xmlns:x="http://schemas.openxmlformats.org/spreadsheetml/2006/main" id="6" name="LegacyBacklogTable" displayName="LegacyBacklogTable" ref="A1:P66" headerRowCount="1">
  <x:tableColumns count="16">
    <x:tableColumn id="1" name="ID"/>
    <x:tableColumn id="2" name="Epic ID"/>
    <x:tableColumn id="3" name="Épica"/>
    <x:tableColumn id="4" name="Prioridad"/>
    <x:tableColumn id="5" name="Tarea"/>
    <x:tableColumn id="6" name="Descripción"/>
    <x:tableColumn id="7" name="Owner"/>
    <x:tableColumn id="8" name="Estado"/>
    <x:tableColumn id="9" name="Dependencias"/>
    <x:tableColumn id="10" name="Rama sugerida"/>
    <x:tableColumn id="11" name="Área"/>
    <x:tableColumn id="12" name="Estimación"/>
    <x:tableColumn id="13" name="Inicio"/>
    <x:tableColumn id="14" name="Límite"/>
    <x:tableColumn id="15" name="Notas"/>
    <x:tableColumn id="16" name="Progreso"/>
  </x:tableColumns>
  <x:tableStyleInfo name="TableStyleMedium2" showRowStripes="1"/>
</x:table>
</file>

<file path=xl/tables/table7.xml><?xml version="1.0" encoding="utf-8"?>
<x:table xmlns:x="http://schemas.openxmlformats.org/spreadsheetml/2006/main" id="7" name="MVP1RoadmapHistoryTable" displayName="MVP1RoadmapHistoryTable" ref="A1:H51" headerRowCount="1">
  <x:tableColumns count="8">
    <x:tableColumn id="1" name="ID"/>
    <x:tableColumn id="2" name="Fase"/>
    <x:tableColumn id="3" name="Área"/>
    <x:tableColumn id="4" name="Épica / tarea"/>
    <x:tableColumn id="5" name="Estado"/>
    <x:tableColumn id="6" name="Resultado / objetivo"/>
    <x:tableColumn id="7" name="PR / Migración / rama"/>
    <x:tableColumn id="8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080151ae3984b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fc770852d845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7c2c43aada4d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9d8406585544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dcfe727cab4b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56141c3f6e4f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76b8aef911e4b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36574462b4443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4" hidden="0" customWidth="1"/>
    <x:col min="5" max="5" width="20" hidden="0" customWidth="1"/>
    <x:col min="6" max="6" width="12" hidden="0" customWidth="1"/>
    <x:col min="7" max="7" width="14" hidden="0" customWidth="1"/>
    <x:col min="8" max="8" width="14" hidden="0" customWidth="1"/>
  </x:cols>
  <x:sheetData>
    <x:row r="1">
      <x:c r="A1" s="4" t="str">
        <x:v>UFO Predictor · MVP2 Delivery Dashboard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10" t="str">
        <x:v>MVP1 remains live while v2 is normalized onto current main, validated in stage, and delivered through bounded parallel tracks.</x:v>
      </x:c>
      <x:c r="B3" s="10"/>
      <x:c r="C3" s="10"/>
      <x:c r="D3" s="10"/>
      <x:c r="E3" s="10"/>
      <x:c r="F3" s="10"/>
      <x:c r="G3" s="10"/>
      <x:c r="H3" s="10"/>
    </x:row>
    <x:row r="5" ht="28" customHeight="1">
      <x:c r="A5" s="17" t="str">
        <x:v>Total tasks</x:v>
      </x:c>
      <x:c r="B5" s="17" t="str">
        <x:v>P0 tasks</x:v>
      </x:c>
      <x:c r="C5" s="17" t="str">
        <x:v>Ready</x:v>
      </x:c>
      <x:c r="D5" s="17" t="str">
        <x:v>In Progress</x:v>
      </x:c>
      <x:c r="E5" s="17" t="str">
        <x:v>Review</x:v>
      </x:c>
      <x:c r="F5" s="17" t="str">
        <x:v>Done</x:v>
      </x:c>
      <x:c r="G5" s="17" t="str">
        <x:v>Blocked</x:v>
      </x:c>
      <x:c r="H5" s="17" t="str">
        <x:v>Parallel tasks</x:v>
      </x:c>
    </x:row>
    <x:row r="6" ht="28" customHeight="1">
      <x:c r="A6" s="25" t="n">
        <x:f>COUNTA('MVP2 Backlog'!A2:A200)</x:f>
        <x:v>45</x:v>
      </x:c>
      <x:c r="B6" s="25" t="n">
        <x:f>COUNTIF('MVP2 Backlog'!D2:D200,"P0")</x:f>
        <x:v>24</x:v>
      </x:c>
      <x:c r="C6" s="25" t="n">
        <x:f>COUNTIF('MVP2 Backlog'!H2:H200,"Ready")</x:f>
        <x:v>2</x:v>
      </x:c>
      <x:c r="D6" s="25" t="n">
        <x:f>COUNTIF('MVP2 Backlog'!H2:H200,"In Progress")</x:f>
        <x:v>0</x:v>
      </x:c>
      <x:c r="E6" s="25" t="n">
        <x:f>COUNTIF('MVP2 Backlog'!H2:H200,"Review")</x:f>
        <x:v>1</x:v>
      </x:c>
      <x:c r="F6" s="25" t="n">
        <x:f>COUNTIF('MVP2 Backlog'!H2:H200,"Done")</x:f>
        <x:v>0</x:v>
      </x:c>
      <x:c r="G6" s="25" t="n">
        <x:f>COUNTIF('MVP2 Backlog'!H2:H200,"Blocked")</x:f>
        <x:v>0</x:v>
      </x:c>
      <x:c r="H6" s="25" t="n">
        <x:f>COUNTIF('MVP2 Backlog'!M2:M200,"Yes")</x:f>
        <x:v>23</x:v>
      </x:c>
    </x:row>
    <x:row r="8">
      <x:c r="A8" s="41" t="str">
        <x:v>Status</x:v>
      </x:c>
      <x:c r="B8" s="42" t="str">
        <x:v>Count</x:v>
      </x:c>
      <x:c r="C8" s="43" t="str">
        <x:v>Share</x:v>
      </x:c>
      <x:c r="E8" s="41" t="str">
        <x:v>Track</x:v>
      </x:c>
      <x:c r="F8" s="43" t="str">
        <x:v>Tasks</x:v>
      </x:c>
    </x:row>
    <x:row r="9">
      <x:c r="A9" s="62" t="str">
        <x:v>Backlog</x:v>
      </x:c>
      <x:c r="B9" s="62" t="n">
        <x:f>COUNTIF('MVP2 Backlog'!$H$2:$H$200,A9)</x:f>
        <x:v>33</x:v>
      </x:c>
      <x:c r="C9" s="70" t="n">
        <x:f>IF($A$6=0,0,B9/$A$6)</x:f>
        <x:v>0.7333333333333333</x:v>
      </x:c>
      <x:c r="E9" s="62" t="str">
        <x:v>Documentation baseline</x:v>
      </x:c>
      <x:c r="F9" s="62" t="n">
        <x:f>COUNTIF('MVP2 Backlog'!$C$2:$C$200,E9)</x:f>
        <x:v>1</x:v>
      </x:c>
    </x:row>
    <x:row r="10">
      <x:c r="A10" s="62" t="str">
        <x:v>Ready</x:v>
      </x:c>
      <x:c r="B10" s="62" t="n">
        <x:f>COUNTIF('MVP2 Backlog'!$H$2:$H$200,A10)</x:f>
        <x:v>2</x:v>
      </x:c>
      <x:c r="C10" s="70" t="n">
        <x:f>IF($A$6=0,0,B10/$A$6)</x:f>
        <x:v>0.044444444444444446</x:v>
      </x:c>
      <x:c r="E10" s="62" t="str">
        <x:v>Branch normalization</x:v>
      </x:c>
      <x:c r="F10" s="62" t="n">
        <x:f>COUNTIF('MVP2 Backlog'!$C$2:$C$200,E10)</x:f>
        <x:v>9</x:v>
      </x:c>
    </x:row>
    <x:row r="11">
      <x:c r="A11" s="62" t="str">
        <x:v>In Progress</x:v>
      </x:c>
      <x:c r="B11" s="62" t="n">
        <x:f>COUNTIF('MVP2 Backlog'!$H$2:$H$200,A11)</x:f>
        <x:v>0</x:v>
      </x:c>
      <x:c r="C11" s="70" t="n">
        <x:f>IF($A$6=0,0,B11/$A$6)</x:f>
        <x:v>0</x:v>
      </x:c>
      <x:c r="E11" s="62" t="str">
        <x:v>Fixture coverage</x:v>
      </x:c>
      <x:c r="F11" s="62" t="n">
        <x:f>COUNTIF('MVP2 Backlog'!$C$2:$C$200,E11)</x:f>
        <x:v>5</x:v>
      </x:c>
    </x:row>
    <x:row r="12">
      <x:c r="A12" s="62" t="str">
        <x:v>Blocked</x:v>
      </x:c>
      <x:c r="B12" s="62" t="n">
        <x:f>COUNTIF('MVP2 Backlog'!$H$2:$H$200,A12)</x:f>
        <x:v>0</x:v>
      </x:c>
      <x:c r="C12" s="70" t="n">
        <x:f>IF($A$6=0,0,B12/$A$6)</x:f>
        <x:v>0</x:v>
      </x:c>
      <x:c r="E12" s="62" t="str">
        <x:v>Stage data foundation</x:v>
      </x:c>
      <x:c r="F12" s="62" t="n">
        <x:f>COUNTIF('MVP2 Backlog'!$C$2:$C$200,E12)</x:f>
        <x:v>8</x:v>
      </x:c>
    </x:row>
    <x:row r="13">
      <x:c r="A13" s="62" t="str">
        <x:v>Review</x:v>
      </x:c>
      <x:c r="B13" s="62" t="n">
        <x:f>COUNTIF('MVP2 Backlog'!$H$2:$H$200,A13)</x:f>
        <x:v>1</x:v>
      </x:c>
      <x:c r="C13" s="70" t="n">
        <x:f>IF($A$6=0,0,B13/$A$6)</x:f>
        <x:v>0.022222222222222223</x:v>
      </x:c>
      <x:c r="E13" s="62" t="str">
        <x:v>Model release</x:v>
      </x:c>
      <x:c r="F13" s="62" t="n">
        <x:f>COUNTIF('MVP2 Backlog'!$C$2:$C$200,E13)</x:f>
        <x:v>3</x:v>
      </x:c>
    </x:row>
    <x:row r="14">
      <x:c r="A14" s="62" t="str">
        <x:v>Done</x:v>
      </x:c>
      <x:c r="B14" s="62" t="n">
        <x:f>COUNTIF('MVP2 Backlog'!$H$2:$H$200,A14)</x:f>
        <x:v>0</x:v>
      </x:c>
      <x:c r="C14" s="70" t="n">
        <x:f>IF($A$6=0,0,B14/$A$6)</x:f>
        <x:v>0</x:v>
      </x:c>
      <x:c r="E14" s="62" t="str">
        <x:v>Ops automation</x:v>
      </x:c>
      <x:c r="F14" s="62" t="n">
        <x:f>COUNTIF('MVP2 Backlog'!$C$2:$C$200,E14)</x:f>
        <x:v>6</x:v>
      </x:c>
    </x:row>
    <x:row r="15">
      <x:c r="A15" s="63" t="str">
        <x:v>Deferred</x:v>
      </x:c>
      <x:c r="B15" s="63" t="n">
        <x:f>COUNTIF('MVP2 Backlog'!$H$2:$H$200,A15)</x:f>
        <x:v>9</x:v>
      </x:c>
      <x:c r="C15" s="71" t="n">
        <x:f>IF($A$6=0,0,B15/$A$6)</x:f>
        <x:v>0.2</x:v>
      </x:c>
      <x:c r="E15" s="62" t="str">
        <x:v>MVP1 UI/UX</x:v>
      </x:c>
      <x:c r="F15" s="62" t="n">
        <x:f>COUNTIF('MVP2 Backlog'!$C$2:$C$200,E15)</x:f>
        <x:v>5</x:v>
      </x:c>
    </x:row>
    <x:row r="16">
      <x:c r="E16" s="62" t="str">
        <x:v>Internationalization</x:v>
      </x:c>
      <x:c r="F16" s="62" t="n">
        <x:f>COUNTIF('MVP2 Backlog'!$C$2:$C$200,E16)</x:f>
        <x:v>3</x:v>
      </x:c>
    </x:row>
    <x:row r="17">
      <x:c r="E17" s="62" t="str">
        <x:v>Commercial expansion</x:v>
      </x:c>
      <x:c r="F17" s="62" t="n">
        <x:f>COUNTIF('MVP2 Backlog'!$C$2:$C$200,E17)</x:f>
        <x:v>2</x:v>
      </x:c>
    </x:row>
    <x:row r="18">
      <x:c r="E18" s="62" t="str">
        <x:v>V3 research radar</x:v>
      </x:c>
      <x:c r="F18" s="62" t="n">
        <x:f>COUNTIF('MVP2 Backlog'!$C$2:$C$200,E18)</x:f>
        <x:v>2</x:v>
      </x:c>
    </x:row>
    <x:row r="19">
      <x:c r="E19" s="63" t="str">
        <x:v>Governance</x:v>
      </x:c>
      <x:c r="F19" s="63" t="n">
        <x:f>COUNTIF('MVP2 Backlog'!$C$2:$C$200,E19)</x:f>
        <x:v>1</x:v>
      </x:c>
    </x:row>
  </x:sheetData>
  <x:mergeCells>
    <x:mergeCell ref="A1:H2"/>
    <x:mergeCell ref="A3:H3"/>
  </x:mergeCells>
  <x:pageMargins left="0.7" right="0.7" top="0.75" bottom="0.75" header="0.3" footer="0.3"/>
  <x:drawing xmlns:r="http://schemas.openxmlformats.org/officeDocument/2006/relationships" r:id="R1080151ae3984ba5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22" hidden="0" customWidth="1"/>
    <x:col min="4" max="4" width="9" hidden="0" customWidth="1"/>
    <x:col min="5" max="5" width="31" hidden="0" customWidth="1"/>
    <x:col min="6" max="6" width="43" hidden="0" customWidth="1"/>
    <x:col min="7" max="7" width="18" hidden="0" customWidth="1"/>
    <x:col min="8" max="8" width="14" hidden="0" customWidth="1"/>
    <x:col min="9" max="9" width="18" hidden="0" customWidth="1"/>
    <x:col min="10" max="10" width="28" hidden="0" customWidth="1"/>
    <x:col min="11" max="11" width="31" hidden="0" customWidth="1"/>
    <x:col min="12" max="12" width="20" hidden="0" customWidth="1"/>
    <x:col min="13" max="13" width="11" hidden="0" customWidth="1"/>
    <x:col min="14" max="14" width="17" hidden="0" customWidth="1"/>
    <x:col min="15" max="15" width="44" hidden="0" customWidth="1"/>
    <x:col min="16" max="16" width="18" hidden="0" customWidth="1"/>
    <x:col min="17" max="17" width="12" hidden="0" customWidth="1"/>
    <x:col min="18" max="18" width="36" hidden="0" customWidth="1"/>
  </x:cols>
  <x:sheetData>
    <x:row r="1">
      <x:c r="A1" s="41" t="str">
        <x:v>ID</x:v>
      </x:c>
      <x:c r="B1" s="42" t="str">
        <x:v>Epic</x:v>
      </x:c>
      <x:c r="C1" s="42" t="str">
        <x:v>Track</x:v>
      </x:c>
      <x:c r="D1" s="42" t="str">
        <x:v>Priority</x:v>
      </x:c>
      <x:c r="E1" s="42" t="str">
        <x:v>Task</x:v>
      </x:c>
      <x:c r="F1" s="42" t="str">
        <x:v>Deliverable / Description</x:v>
      </x:c>
      <x:c r="G1" s="42" t="str">
        <x:v>Owner</x:v>
      </x:c>
      <x:c r="H1" s="42" t="str">
        <x:v>Status</x:v>
      </x:c>
      <x:c r="I1" s="42" t="str">
        <x:v>Dependencies</x:v>
      </x:c>
      <x:c r="J1" s="42" t="str">
        <x:v>Base branch</x:v>
      </x:c>
      <x:c r="K1" s="42" t="str">
        <x:v>Suggested branch</x:v>
      </x:c>
      <x:c r="L1" s="42" t="str">
        <x:v>Environment</x:v>
      </x:c>
      <x:c r="M1" s="42" t="str">
        <x:v>Parallel?</x:v>
      </x:c>
      <x:c r="N1" s="42" t="str">
        <x:v>Blocks production?</x:v>
      </x:c>
      <x:c r="O1" s="42" t="str">
        <x:v>Acceptance criteria</x:v>
      </x:c>
      <x:c r="P1" s="42" t="str">
        <x:v>Evidence / PR</x:v>
      </x:c>
      <x:c r="Q1" s="42" t="str">
        <x:v>Estimate (pts)</x:v>
      </x:c>
      <x:c r="R1" s="43" t="str">
        <x:v>Notes</x:v>
      </x:c>
    </x:row>
    <x:row r="2" ht="42" customHeight="1">
      <x:c r="A2" s="62" t="str">
        <x:v>M2-001</x:v>
      </x:c>
      <x:c r="B2" s="62" t="str">
        <x:v>M2-00</x:v>
      </x:c>
      <x:c r="C2" s="62" t="str">
        <x:v>Documentation baseline</x:v>
      </x:c>
      <x:c r="D2" s="62" t="str">
        <x:v>P0</x:v>
      </x:c>
      <x:c r="E2" s="62" t="str">
        <x:v>Merge refreshed documentation and replace ChatGPT source set</x:v>
      </x:c>
      <x:c r="F2" s="62" t="str">
        <x:v>Approve canonical docs, merge them, then replace uploaded sources with the exact 10-file core.</x:v>
      </x:c>
      <x:c r="G2" s="62" t="str">
        <x:v>Owner</x:v>
      </x:c>
      <x:c r="H2" s="62" t="str">
        <x:v>Review</x:v>
      </x:c>
      <x:c r="I2" s="62" t="str"/>
      <x:c r="J2" s="62" t="str">
        <x:v>docs/adopt-2026-06-23-project-source-refresh</x:v>
      </x:c>
      <x:c r="K2" s="62" t="str">
        <x:v>docs/adopt-2026-06-23-project-source-refresh</x:v>
      </x:c>
      <x:c r="L2" s="62" t="str">
        <x:v>Docs</x:v>
      </x:c>
      <x:c r="M2" s="62" t="str">
        <x:v>Yes</x:v>
      </x:c>
      <x:c r="N2" s="62" t="str">
        <x:v>No</x:v>
      </x:c>
      <x:c r="O2" s="62" t="str">
        <x:v>Codex approves docs; docs-only diff; PR merged; source set replaced.</x:v>
      </x:c>
      <x:c r="P2" s="62" t="str"/>
      <x:c r="Q2" s="62" t="str">
        <x:v>2</x:v>
      </x:c>
      <x:c r="R2" s="62" t="str">
        <x:v>Do not upload old and new canonical files together.</x:v>
      </x:c>
    </x:row>
    <x:row r="3" ht="42" customHeight="1">
      <x:c r="A3" s="62" t="str">
        <x:v>M2-002</x:v>
      </x:c>
      <x:c r="B3" s="62" t="str">
        <x:v>M2-01</x:v>
      </x:c>
      <x:c r="C3" s="62" t="str">
        <x:v>Branch normalization</x:v>
      </x:c>
      <x:c r="D3" s="62" t="str">
        <x:v>P0</x:v>
      </x:c>
      <x:c r="E3" s="62" t="str">
        <x:v>Audit the nine v2-only commits</x:v>
      </x:c>
      <x:c r="F3" s="62" t="str">
        <x:v>Map each commit/file to data, migration, model, scripts, tests, artifacts, stale frontend, or stale docs.</x:v>
      </x:c>
      <x:c r="G3" s="62" t="str">
        <x:v>Model/Data owner</x:v>
      </x:c>
      <x:c r="H3" s="62" t="str">
        <x:v>Ready</x:v>
      </x:c>
      <x:c r="I3" s="62" t="str">
        <x:v>M2-001</x:v>
      </x:c>
      <x:c r="J3" s="62" t="str">
        <x:v>main</x:v>
      </x:c>
      <x:c r="K3" s="62" t="str">
        <x:v>audit/v2-nine-commit-preservation</x:v>
      </x:c>
      <x:c r="L3" s="62" t="str">
        <x:v>Local</x:v>
      </x:c>
      <x:c r="M3" s="62" t="str">
        <x:v>No</x:v>
      </x:c>
      <x:c r="N3" s="62" t="str">
        <x:v>No</x:v>
      </x:c>
      <x:c r="O3" s="62" t="str">
        <x:v>Preservation matrix covers every v2-only commit and file.</x:v>
      </x:c>
      <x:c r="P3" s="62" t="str"/>
      <x:c r="Q3" s="62" t="str">
        <x:v>3</x:v>
      </x:c>
      <x:c r="R3" s="62" t="str">
        <x:v>Old branch and PR #106 remain unchanged.</x:v>
      </x:c>
    </x:row>
    <x:row r="4" ht="42" customHeight="1">
      <x:c r="A4" s="62" t="str">
        <x:v>M2-003</x:v>
      </x:c>
      <x:c r="B4" s="62" t="str">
        <x:v>M2-01</x:v>
      </x:c>
      <x:c r="C4" s="62" t="str">
        <x:v>Branch normalization</x:v>
      </x:c>
      <x:c r="D4" s="62" t="str">
        <x:v>P0</x:v>
      </x:c>
      <x:c r="E4" s="62" t="str">
        <x:v>Create current-main v2 integration branch</x:v>
      </x:c>
      <x:c r="F4" s="62" t="str">
        <x:v>Create integration/prediction-intelligence-v2 from latest clean origin/main after docs merge.</x:v>
      </x:c>
      <x:c r="G4" s="62" t="str">
        <x:v>Model/Data owner</x:v>
      </x:c>
      <x:c r="H4" s="62" t="str">
        <x:v>Backlog</x:v>
      </x:c>
      <x:c r="I4" s="62" t="str">
        <x:v>M2-001</x:v>
      </x:c>
      <x:c r="J4" s="62" t="str">
        <x:v>main</x:v>
      </x:c>
      <x:c r="K4" s="62" t="str">
        <x:v>integration/prediction-intelligence-v2</x:v>
      </x:c>
      <x:c r="L4" s="62" t="str">
        <x:v>Local</x:v>
      </x:c>
      <x:c r="M4" s="62" t="str">
        <x:v>No</x:v>
      </x:c>
      <x:c r="N4" s="62" t="str">
        <x:v>No</x:v>
      </x:c>
      <x:c r="O4" s="62" t="str">
        <x:v>Recorded base SHA equals current origin/main.</x:v>
      </x:c>
      <x:c r="P4" s="62" t="str"/>
      <x:c r="Q4" s="62" t="str">
        <x:v>1</x:v>
      </x:c>
      <x:c r="R4" s="62" t="str">
        <x:v>Do not branch from stale v2.</x:v>
      </x:c>
    </x:row>
    <x:row r="5" ht="42" customHeight="1">
      <x:c r="A5" s="62" t="str">
        <x:v>M2-004</x:v>
      </x:c>
      <x:c r="B5" s="62" t="str">
        <x:v>M2-01</x:v>
      </x:c>
      <x:c r="C5" s="62" t="str">
        <x:v>Branch normalization</x:v>
      </x:c>
      <x:c r="D5" s="62" t="str">
        <x:v>P0</x:v>
      </x:c>
      <x:c r="E5" s="62" t="str">
        <x:v>Create parallel worktrees</x:v>
      </x:c>
      <x:c r="F5" s="62" t="str">
        <x:v>Use separate main, v2 integration, and optional UI worktrees with independent ignored env files.</x:v>
      </x:c>
      <x:c r="G5" s="62" t="str">
        <x:v>Model/Data owner</x:v>
      </x:c>
      <x:c r="H5" s="62" t="str">
        <x:v>Backlog</x:v>
      </x:c>
      <x:c r="I5" s="62" t="str">
        <x:v>M2-003</x:v>
      </x:c>
      <x:c r="J5" s="62" t="str">
        <x:v>main</x:v>
      </x:c>
      <x:c r="K5" s="62" t="str">
        <x:v>ops/v2-worktree-setup</x:v>
      </x:c>
      <x:c r="L5" s="62" t="str">
        <x:v>Local</x:v>
      </x:c>
      <x:c r="M5" s="62" t="str">
        <x:v>Yes</x:v>
      </x:c>
      <x:c r="N5" s="62" t="str">
        <x:v>No</x:v>
      </x:c>
      <x:c r="O5" s="62" t="str">
        <x:v>Worktrees inspect independently; no secrets committed.</x:v>
      </x:c>
      <x:c r="P5" s="62" t="str"/>
      <x:c r="Q5" s="62" t="str">
        <x:v>1</x:v>
      </x:c>
      <x:c r="R5" s="62" t="str">
        <x:v>Use documented paths.</x:v>
      </x:c>
    </x:row>
    <x:row r="6" ht="42" customHeight="1">
      <x:c r="A6" s="62" t="str">
        <x:v>M2-005</x:v>
      </x:c>
      <x:c r="B6" s="62" t="str">
        <x:v>M2-01</x:v>
      </x:c>
      <x:c r="C6" s="62" t="str">
        <x:v>Branch normalization</x:v>
      </x:c>
      <x:c r="D6" s="62" t="str">
        <x:v>P0</x:v>
      </x:c>
      <x:c r="E6" s="62" t="str">
        <x:v>Port migration, types, and contracts</x:v>
      </x:c>
      <x:c r="F6" s="62" t="str">
        <x:v>Selectively recover migration 0038, typings, contracts, and tests onto integration branch.</x:v>
      </x:c>
      <x:c r="G6" s="62" t="str">
        <x:v>Model/Data owner</x:v>
      </x:c>
      <x:c r="H6" s="62" t="str">
        <x:v>Backlog</x:v>
      </x:c>
      <x:c r="I6" s="62" t="str">
        <x:v>M2-002,M2-003</x:v>
      </x:c>
      <x:c r="J6" s="62" t="str">
        <x:v>integration/prediction-intelligence-v2</x:v>
      </x:c>
      <x:c r="K6" s="62" t="str">
        <x:v>feature/v2-port-schema-contracts</x:v>
      </x:c>
      <x:c r="L6" s="62" t="str">
        <x:v>Local</x:v>
      </x:c>
      <x:c r="M6" s="62" t="str">
        <x:v>No</x:v>
      </x:c>
      <x:c r="N6" s="62" t="str">
        <x:v>No</x:v>
      </x:c>
      <x:c r="O6" s="62" t="str">
        <x:v>Focused tests, lint, build, diff-check pass; no stale frontend imported.</x:v>
      </x:c>
      <x:c r="P6" s="62" t="str"/>
      <x:c r="Q6" s="62" t="str">
        <x:v>4</x:v>
      </x:c>
      <x:c r="R6" s="62" t="str">
        <x:v>Port by concern.</x:v>
      </x:c>
    </x:row>
    <x:row r="7" ht="42" customHeight="1">
      <x:c r="A7" s="62" t="str">
        <x:v>M2-006</x:v>
      </x:c>
      <x:c r="B7" s="62" t="str">
        <x:v>M2-01</x:v>
      </x:c>
      <x:c r="C7" s="62" t="str">
        <x:v>Branch normalization</x:v>
      </x:c>
      <x:c r="D7" s="62" t="str">
        <x:v>P0</x:v>
      </x:c>
      <x:c r="E7" s="62" t="str">
        <x:v>Port source preparation and normalized data assets</x:v>
      </x:c>
      <x:c r="F7" s="62" t="str">
        <x:v>Recover manifests, parsers, snapshots, aliases, schedule, venue, Elo, and FIFA assets.</x:v>
      </x:c>
      <x:c r="G7" s="62" t="str">
        <x:v>Model/Data owner</x:v>
      </x:c>
      <x:c r="H7" s="62" t="str">
        <x:v>Backlog</x:v>
      </x:c>
      <x:c r="I7" s="62" t="str">
        <x:v>M2-005</x:v>
      </x:c>
      <x:c r="J7" s="62" t="str">
        <x:v>integration/prediction-intelligence-v2</x:v>
      </x:c>
      <x:c r="K7" s="62" t="str">
        <x:v>feature/v2-port-data-foundation</x:v>
      </x:c>
      <x:c r="L7" s="62" t="str">
        <x:v>Local</x:v>
      </x:c>
      <x:c r="M7" s="62" t="str">
        <x:v>No</x:v>
      </x:c>
      <x:c r="N7" s="62" t="str">
        <x:v>No</x:v>
      </x:c>
      <x:c r="O7" s="62" t="str">
        <x:v>Coverage counts and lineage match expected reports.</x:v>
      </x:c>
      <x:c r="P7" s="62" t="str"/>
      <x:c r="Q7" s="62" t="str">
        <x:v>5</x:v>
      </x:c>
      <x:c r="R7" s="62" t="str">
        <x:v>Use committed and external prepared-v2 assets.</x:v>
      </x:c>
    </x:row>
    <x:row r="8" ht="42" customHeight="1">
      <x:c r="A8" s="62" t="str">
        <x:v>M2-007</x:v>
      </x:c>
      <x:c r="B8" s="62" t="str">
        <x:v>M2-01</x:v>
      </x:c>
      <x:c r="C8" s="62" t="str">
        <x:v>Branch normalization</x:v>
      </x:c>
      <x:c r="D8" s="62" t="str">
        <x:v>P0</x:v>
      </x:c>
      <x:c r="E8" s="62" t="str">
        <x:v>Port model, replay, and calibration tooling</x:v>
      </x:c>
      <x:c r="F8" s="62" t="str">
        <x:v>Recover challenger, gating, replay, holdout, calibration, release candidate, and tests.</x:v>
      </x:c>
      <x:c r="G8" s="62" t="str">
        <x:v>Model/Data owner</x:v>
      </x:c>
      <x:c r="H8" s="62" t="str">
        <x:v>Backlog</x:v>
      </x:c>
      <x:c r="I8" s="62" t="str">
        <x:v>M2-006</x:v>
      </x:c>
      <x:c r="J8" s="62" t="str">
        <x:v>integration/prediction-intelligence-v2</x:v>
      </x:c>
      <x:c r="K8" s="62" t="str">
        <x:v>feature/v2-port-model-runtime</x:v>
      </x:c>
      <x:c r="L8" s="62" t="str">
        <x:v>Local</x:v>
      </x:c>
      <x:c r="M8" s="62" t="str">
        <x:v>No</x:v>
      </x:c>
      <x:c r="N8" s="62" t="str">
        <x:v>No</x:v>
      </x:c>
      <x:c r="O8" s="62" t="str">
        <x:v>Task 2 artifacts regenerate and parity remains explainable.</x:v>
      </x:c>
      <x:c r="P8" s="62" t="str"/>
      <x:c r="Q8" s="62" t="str">
        <x:v>6</x:v>
      </x:c>
      <x:c r="R8" s="62" t="str">
        <x:v>No accuracy breakthrough claim.</x:v>
      </x:c>
    </x:row>
    <x:row r="9" ht="42" customHeight="1">
      <x:c r="A9" s="62" t="str">
        <x:v>M2-008</x:v>
      </x:c>
      <x:c r="B9" s="62" t="str">
        <x:v>M2-01</x:v>
      </x:c>
      <x:c r="C9" s="62" t="str">
        <x:v>Branch normalization</x:v>
      </x:c>
      <x:c r="D9" s="62" t="str">
        <x:v>P0</x:v>
      </x:c>
      <x:c r="E9" s="62" t="str">
        <x:v>Port Task 3A planners and Task 3B runbook</x:v>
      </x:c>
      <x:c r="F9" s="62" t="str">
        <x:v>Recover target guards and migration/import/signal/publication/export planners.</x:v>
      </x:c>
      <x:c r="G9" s="62" t="str">
        <x:v>Model/Data owner</x:v>
      </x:c>
      <x:c r="H9" s="62" t="str">
        <x:v>Backlog</x:v>
      </x:c>
      <x:c r="I9" s="62" t="str">
        <x:v>M2-007</x:v>
      </x:c>
      <x:c r="J9" s="62" t="str">
        <x:v>integration/prediction-intelligence-v2</x:v>
      </x:c>
      <x:c r="K9" s="62" t="str">
        <x:v>feature/v2-port-ops-layer</x:v>
      </x:c>
      <x:c r="L9" s="62" t="str">
        <x:v>Local</x:v>
      </x:c>
      <x:c r="M9" s="62" t="str">
        <x:v>No</x:v>
      </x:c>
      <x:c r="N9" s="62" t="str">
        <x:v>No</x:v>
      </x:c>
      <x:c r="O9" s="62" t="str">
        <x:v>Task 3A passes on current main contracts and denies production writes.</x:v>
      </x:c>
      <x:c r="P9" s="62" t="str"/>
      <x:c r="Q9" s="62" t="str">
        <x:v>4</x:v>
      </x:c>
      <x:c r="R9" s="62" t="str">
        <x:v>Dry-run is not remote execution.</x:v>
      </x:c>
    </x:row>
    <x:row r="10" ht="42" customHeight="1">
      <x:c r="A10" s="62" t="str">
        <x:v>M2-009</x:v>
      </x:c>
      <x:c r="B10" s="62" t="str">
        <x:v>M2-01</x:v>
      </x:c>
      <x:c r="C10" s="62" t="str">
        <x:v>Branch normalization</x:v>
      </x:c>
      <x:c r="D10" s="62" t="str">
        <x:v>P0</x:v>
      </x:c>
      <x:c r="E10" s="62" t="str">
        <x:v>Open replacement Draft PR</x:v>
      </x:c>
      <x:c r="F10" s="62" t="str">
        <x:v>Open new Draft PR from integration branch after preservation/regression proof.</x:v>
      </x:c>
      <x:c r="G10" s="62" t="str">
        <x:v>Model/Data owner</x:v>
      </x:c>
      <x:c r="H10" s="62" t="str">
        <x:v>Backlog</x:v>
      </x:c>
      <x:c r="I10" s="62" t="str">
        <x:v>M2-008</x:v>
      </x:c>
      <x:c r="J10" s="62" t="str">
        <x:v>integration/prediction-intelligence-v2</x:v>
      </x:c>
      <x:c r="K10" s="62" t="str">
        <x:v>integration/prediction-intelligence-v2</x:v>
      </x:c>
      <x:c r="L10" s="62" t="str">
        <x:v>GitHub</x:v>
      </x:c>
      <x:c r="M10" s="62" t="str">
        <x:v>No</x:v>
      </x:c>
      <x:c r="N10" s="62" t="str">
        <x:v>No</x:v>
      </x:c>
      <x:c r="O10" s="62" t="str">
        <x:v>Draft PR includes preservation matrix and validation evidence.</x:v>
      </x:c>
      <x:c r="P10" s="62" t="str"/>
      <x:c r="Q10" s="62" t="str">
        <x:v>1</x:v>
      </x:c>
      <x:c r="R10" s="62" t="str">
        <x:v>Keep #106 Draft until proof.</x:v>
      </x:c>
    </x:row>
    <x:row r="11" ht="42" customHeight="1">
      <x:c r="A11" s="62" t="str">
        <x:v>M2-010</x:v>
      </x:c>
      <x:c r="B11" s="62" t="str">
        <x:v>M2-01</x:v>
      </x:c>
      <x:c r="C11" s="62" t="str">
        <x:v>Branch normalization</x:v>
      </x:c>
      <x:c r="D11" s="62" t="str">
        <x:v>P1</x:v>
      </x:c>
      <x:c r="E11" s="62" t="str">
        <x:v>Mark PR #106 superseded</x:v>
      </x:c>
      <x:c r="F11" s="62" t="str">
        <x:v>After replacement PR proves preservation, cross-link and close/supersede old Draft PR.</x:v>
      </x:c>
      <x:c r="G11" s="62" t="str">
        <x:v>Owner</x:v>
      </x:c>
      <x:c r="H11" s="62" t="str">
        <x:v>Deferred</x:v>
      </x:c>
      <x:c r="I11" s="62" t="str">
        <x:v>M2-009</x:v>
      </x:c>
      <x:c r="J11" s="62" t="str">
        <x:v>integration/prediction-intelligence-v2</x:v>
      </x:c>
      <x:c r="K11" s="62" t="str">
        <x:v>docs/supersede-pr106</x:v>
      </x:c>
      <x:c r="L11" s="62" t="str">
        <x:v>GitHub</x:v>
      </x:c>
      <x:c r="M11" s="62" t="str">
        <x:v>No</x:v>
      </x:c>
      <x:c r="N11" s="62" t="str">
        <x:v>No</x:v>
      </x:c>
      <x:c r="O11" s="62" t="str">
        <x:v>No required code/artifact lost; cross-links added.</x:v>
      </x:c>
      <x:c r="P11" s="62" t="str"/>
      <x:c r="Q11" s="62" t="str">
        <x:v>1</x:v>
      </x:c>
      <x:c r="R11" s="62" t="str">
        <x:v>Do not do early.</x:v>
      </x:c>
    </x:row>
    <x:row r="12" ht="42" customHeight="1">
      <x:c r="A12" s="62" t="str">
        <x:v>M2-011</x:v>
      </x:c>
      <x:c r="B12" s="62" t="str">
        <x:v>M2-02</x:v>
      </x:c>
      <x:c r="C12" s="62" t="str">
        <x:v>Fixture coverage</x:v>
      </x:c>
      <x:c r="D12" s="62" t="str">
        <x:v>P0</x:v>
      </x:c>
      <x:c r="E12" s="62" t="str">
        <x:v>Discover all remaining group-stage fixture IDs</x:v>
      </x:c>
      <x:c r="F12" s="62" t="str">
        <x:v>Query full remaining group stage instead of one-by-one ID discovery.</x:v>
      </x:c>
      <x:c r="G12" s="62" t="str">
        <x:v>Ops owner</x:v>
      </x:c>
      <x:c r="H12" s="62" t="str">
        <x:v>Ready</x:v>
      </x:c>
      <x:c r="I12" s="62" t="str">
        <x:v>M2-001</x:v>
      </x:c>
      <x:c r="J12" s="62" t="str">
        <x:v>main</x:v>
      </x:c>
      <x:c r="K12" s="62" t="str">
        <x:v>ops/remaining-group-stage-fixture-discovery</x:v>
      </x:c>
      <x:c r="L12" s="62" t="str">
        <x:v>Production-safe read</x:v>
      </x:c>
      <x:c r="M12" s="62" t="str">
        <x:v>Yes</x:v>
      </x:c>
      <x:c r="N12" s="62" t="str">
        <x:v>No</x:v>
      </x:c>
      <x:c r="O12" s="62" t="str">
        <x:v>Manifest has every remaining match, fixture ID, kickoff UTC, teams, group, status.</x:v>
      </x:c>
      <x:c r="P12" s="62" t="str"/>
      <x:c r="Q12" s="62" t="str">
        <x:v>3</x:v>
      </x:c>
      <x:c r="R12" s="62" t="str">
        <x:v>Can proceed with v1.</x:v>
      </x:c>
    </x:row>
    <x:row r="13" ht="42" customHeight="1">
      <x:c r="A13" s="62" t="str">
        <x:v>M2-012</x:v>
      </x:c>
      <x:c r="B13" s="62" t="str">
        <x:v>M2-02</x:v>
      </x:c>
      <x:c r="C13" s="62" t="str">
        <x:v>Fixture coverage</x:v>
      </x:c>
      <x:c r="D13" s="62" t="str">
        <x:v>P0</x:v>
      </x:c>
      <x:c r="E13" s="62" t="str">
        <x:v>Reconcile provider fixtures with official schedule</x:v>
      </x:c>
      <x:c r="F13" s="62" t="str">
        <x:v>Link API-Football fixtures to official schedule and canonical teams.</x:v>
      </x:c>
      <x:c r="G13" s="62" t="str">
        <x:v>Ops owner</x:v>
      </x:c>
      <x:c r="H13" s="62" t="str">
        <x:v>Backlog</x:v>
      </x:c>
      <x:c r="I13" s="62" t="str">
        <x:v>M2-011</x:v>
      </x:c>
      <x:c r="J13" s="62" t="str">
        <x:v>main</x:v>
      </x:c>
      <x:c r="K13" s="62" t="str">
        <x:v>ops/official-provider-fixture-linking</x:v>
      </x:c>
      <x:c r="L13" s="62" t="str">
        <x:v>Local/Production-safe</x:v>
      </x:c>
      <x:c r="M13" s="62" t="str">
        <x:v>Yes</x:v>
      </x:c>
      <x:c r="N13" s="62" t="str">
        <x:v>No</x:v>
      </x:c>
      <x:c r="O13" s="62" t="str">
        <x:v>No duplicate/unresolved group-stage links; exceptions reported.</x:v>
      </x:c>
      <x:c r="P13" s="62" t="str"/>
      <x:c r="Q13" s="62" t="str">
        <x:v>4</x:v>
      </x:c>
      <x:c r="R13" s="62" t="str">
        <x:v>Knockout placeholders may remain unresolved.</x:v>
      </x:c>
    </x:row>
    <x:row r="14" ht="42" customHeight="1">
      <x:c r="A14" s="62" t="str">
        <x:v>M2-013</x:v>
      </x:c>
      <x:c r="B14" s="62" t="str">
        <x:v>M2-02</x:v>
      </x:c>
      <x:c r="C14" s="62" t="str">
        <x:v>Fixture coverage</x:v>
      </x:c>
      <x:c r="D14" s="62" t="str">
        <x:v>P0</x:v>
      </x:c>
      <x:c r="E14" s="62" t="str">
        <x:v>Persist canonical fixture/provider links</x:v>
      </x:c>
      <x:c r="F14" s="62" t="str">
        <x:v>Store remaining fixtures and links with bounded idempotent writes.</x:v>
      </x:c>
      <x:c r="G14" s="62" t="str">
        <x:v>Ops owner</x:v>
      </x:c>
      <x:c r="H14" s="62" t="str">
        <x:v>Backlog</x:v>
      </x:c>
      <x:c r="I14" s="62" t="str">
        <x:v>M2-012</x:v>
      </x:c>
      <x:c r="J14" s="62" t="str">
        <x:v>main</x:v>
      </x:c>
      <x:c r="K14" s="62" t="str">
        <x:v>ops/persist-remaining-world-cup-fixtures</x:v>
      </x:c>
      <x:c r="L14" s="62" t="str">
        <x:v>Production</x:v>
      </x:c>
      <x:c r="M14" s="62" t="str">
        <x:v>Yes</x:v>
      </x:c>
      <x:c r="N14" s="62" t="str">
        <x:v>Yes</x:v>
      </x:c>
      <x:c r="O14" s="62" t="str">
        <x:v>Dry-run/apply match; rerun creates zero duplicates.</x:v>
      </x:c>
      <x:c r="P14" s="62" t="str"/>
      <x:c r="Q14" s="62" t="str">
        <x:v>4</x:v>
      </x:c>
      <x:c r="R14" s="62" t="str">
        <x:v>Exact target guard required.</x:v>
      </x:c>
    </x:row>
    <x:row r="15" ht="42" customHeight="1">
      <x:c r="A15" s="62" t="str">
        <x:v>M2-014</x:v>
      </x:c>
      <x:c r="B15" s="62" t="str">
        <x:v>M2-02</x:v>
      </x:c>
      <x:c r="C15" s="62" t="str">
        <x:v>Fixture coverage</x:v>
      </x:c>
      <x:c r="D15" s="62" t="str">
        <x:v>P0</x:v>
      </x:c>
      <x:c r="E15" s="62" t="str">
        <x:v>Publish next fixture batch with current model</x:v>
      </x:c>
      <x:c r="F15" s="62" t="str">
        <x:v>Generate, review, and publish upcoming predictions so coverage does not wait for v2.</x:v>
      </x:c>
      <x:c r="G15" s="62" t="str">
        <x:v>Prediction Ops</x:v>
      </x:c>
      <x:c r="H15" s="62" t="str">
        <x:v>Backlog</x:v>
      </x:c>
      <x:c r="I15" s="62" t="str">
        <x:v>M2-013</x:v>
      </x:c>
      <x:c r="J15" s="62" t="str">
        <x:v>main</x:v>
      </x:c>
      <x:c r="K15" s="62" t="str">
        <x:v>ops/publish-next-world-cup-batch</x:v>
      </x:c>
      <x:c r="L15" s="62" t="str">
        <x:v>Production</x:v>
      </x:c>
      <x:c r="M15" s="62" t="str">
        <x:v>Yes</x:v>
      </x:c>
      <x:c r="N15" s="62" t="str">
        <x:v>Yes</x:v>
      </x:c>
      <x:c r="O15" s="62" t="str">
        <x:v>Chosen not-started fixtures have immutable public predictions and detail pages.</x:v>
      </x:c>
      <x:c r="P15" s="62" t="str"/>
      <x:c r="Q15" s="62" t="str">
        <x:v>5</x:v>
      </x:c>
      <x:c r="R15" s="62" t="str">
        <x:v>Later v2 versions only before kickoff.</x:v>
      </x:c>
    </x:row>
    <x:row r="16" ht="42" customHeight="1">
      <x:c r="A16" s="62" t="str">
        <x:v>M2-015</x:v>
      </x:c>
      <x:c r="B16" s="62" t="str">
        <x:v>M2-02</x:v>
      </x:c>
      <x:c r="C16" s="62" t="str">
        <x:v>Fixture coverage</x:v>
      </x:c>
      <x:c r="D16" s="62" t="str">
        <x:v>P1</x:v>
      </x:c>
      <x:c r="E16" s="62" t="str">
        <x:v>Maintain not-started eligibility manifest</x:v>
      </x:c>
      <x:c r="F16" s="62" t="str">
        <x:v>Track fixtures eligible for a v2 version without touching started matches.</x:v>
      </x:c>
      <x:c r="G16" s="62" t="str">
        <x:v>Prediction Ops</x:v>
      </x:c>
      <x:c r="H16" s="62" t="str">
        <x:v>Backlog</x:v>
      </x:c>
      <x:c r="I16" s="62" t="str">
        <x:v>M2-013</x:v>
      </x:c>
      <x:c r="J16" s="62" t="str">
        <x:v>main</x:v>
      </x:c>
      <x:c r="K16" s="62" t="str">
        <x:v>ops/not-started-eligibility-manifest</x:v>
      </x:c>
      <x:c r="L16" s="62" t="str">
        <x:v>Production-safe read</x:v>
      </x:c>
      <x:c r="M16" s="62" t="str">
        <x:v>Yes</x:v>
      </x:c>
      <x:c r="N16" s="62" t="str">
        <x:v>No</x:v>
      </x:c>
      <x:c r="O16" s="62" t="str">
        <x:v>Manifest excludes live/finished and records cutoff/version lineage.</x:v>
      </x:c>
      <x:c r="P16" s="62" t="str"/>
      <x:c r="Q16" s="62" t="str">
        <x:v>2</x:v>
      </x:c>
      <x:c r="R16" s="62" t="str">
        <x:v>Shared by continuity and stage tests.</x:v>
      </x:c>
    </x:row>
    <x:row r="17" ht="42" customHeight="1">
      <x:c r="A17" s="62" t="str">
        <x:v>M2-016</x:v>
      </x:c>
      <x:c r="B17" s="62" t="str">
        <x:v>M2-03</x:v>
      </x:c>
      <x:c r="C17" s="62" t="str">
        <x:v>Stage data foundation</x:v>
      </x:c>
      <x:c r="D17" s="62" t="str">
        <x:v>P0</x:v>
      </x:c>
      <x:c r="E17" s="62" t="str">
        <x:v>Run Task 3B read-only stage audit</x:v>
      </x:c>
      <x:c r="F17" s="62" t="str">
        <x:v>Inspect stage migrations, schema, RLS, functions, data, source workspace, and drift.</x:v>
      </x:c>
      <x:c r="G17" s="62" t="str">
        <x:v>Model/Data owner</x:v>
      </x:c>
      <x:c r="H17" s="62" t="str">
        <x:v>Backlog</x:v>
      </x:c>
      <x:c r="I17" s="62" t="str">
        <x:v>M2-009</x:v>
      </x:c>
      <x:c r="J17" s="62" t="str">
        <x:v>integration/prediction-intelligence-v2</x:v>
      </x:c>
      <x:c r="K17" s="62" t="str">
        <x:v>audit/task3b-stage-readonly</x:v>
      </x:c>
      <x:c r="L17" s="62" t="str">
        <x:v>Stage read-only</x:v>
      </x:c>
      <x:c r="M17" s="62" t="str">
        <x:v>No</x:v>
      </x:c>
      <x:c r="N17" s="62" t="str">
        <x:v>No</x:v>
      </x:c>
      <x:c r="O17" s="62" t="str">
        <x:v>Ordered non-destructive plan; no mutation; production target denied.</x:v>
      </x:c>
      <x:c r="P17" s="62" t="str"/>
      <x:c r="Q17" s="62" t="str">
        <x:v>4</x:v>
      </x:c>
      <x:c r="R17" s="62" t="str">
        <x:v>Stop for human approval.</x:v>
      </x:c>
    </x:row>
    <x:row r="18" ht="42" customHeight="1">
      <x:c r="A18" s="62" t="str">
        <x:v>M2-017</x:v>
      </x:c>
      <x:c r="B18" s="62" t="str">
        <x:v>M2-03</x:v>
      </x:c>
      <x:c r="C18" s="62" t="str">
        <x:v>Stage data foundation</x:v>
      </x:c>
      <x:c r="D18" s="62" t="str">
        <x:v>P0</x:v>
      </x:c>
      <x:c r="E18" s="62" t="str">
        <x:v>Reconcile canonical migration chain in stage</x:v>
      </x:c>
      <x:c r="F18" s="62" t="str">
        <x:v>Apply only approved missing canonical migrations.</x:v>
      </x:c>
      <x:c r="G18" s="62" t="str">
        <x:v>Model/Data owner</x:v>
      </x:c>
      <x:c r="H18" s="62" t="str">
        <x:v>Backlog</x:v>
      </x:c>
      <x:c r="I18" s="62" t="str">
        <x:v>M2-016</x:v>
      </x:c>
      <x:c r="J18" s="62" t="str">
        <x:v>integration/prediction-intelligence-v2</x:v>
      </x:c>
      <x:c r="K18" s="62" t="str">
        <x:v>feature/task3b-stage-migration-sync</x:v>
      </x:c>
      <x:c r="L18" s="62" t="str">
        <x:v>Stage</x:v>
      </x:c>
      <x:c r="M18" s="62" t="str">
        <x:v>No</x:v>
      </x:c>
      <x:c r="N18" s="62" t="str">
        <x:v>No</x:v>
      </x:c>
      <x:c r="O18" s="62" t="str">
        <x:v>Migration history/schema match plan; stage Auth preserved.</x:v>
      </x:c>
      <x:c r="P18" s="62" t="str"/>
      <x:c r="Q18" s="62" t="str">
        <x:v>4</x:v>
      </x:c>
      <x:c r="R18" s="62" t="str">
        <x:v>Stage only.</x:v>
      </x:c>
    </x:row>
    <x:row r="19" ht="42" customHeight="1">
      <x:c r="A19" s="62" t="str">
        <x:v>M2-018</x:v>
      </x:c>
      <x:c r="B19" s="62" t="str">
        <x:v>M2-03</x:v>
      </x:c>
      <x:c r="C19" s="62" t="str">
        <x:v>Stage data foundation</x:v>
      </x:c>
      <x:c r="D19" s="62" t="str">
        <x:v>P0</x:v>
      </x:c>
      <x:c r="E19" s="62" t="str">
        <x:v>Apply migration 0038 in stage</x:v>
      </x:c>
      <x:c r="F19" s="62" t="str">
        <x:v>Create v2 analytical tables, indexes, constraints, and RLS.</x:v>
      </x:c>
      <x:c r="G19" s="62" t="str">
        <x:v>Model/Data owner</x:v>
      </x:c>
      <x:c r="H19" s="62" t="str">
        <x:v>Backlog</x:v>
      </x:c>
      <x:c r="I19" s="62" t="str">
        <x:v>M2-017</x:v>
      </x:c>
      <x:c r="J19" s="62" t="str">
        <x:v>integration/prediction-intelligence-v2</x:v>
      </x:c>
      <x:c r="K19" s="62" t="str">
        <x:v>feature/task3b-apply-0038</x:v>
      </x:c>
      <x:c r="L19" s="62" t="str">
        <x:v>Stage</x:v>
      </x:c>
      <x:c r="M19" s="62" t="str">
        <x:v>No</x:v>
      </x:c>
      <x:c r="N19" s="62" t="str">
        <x:v>No</x:v>
      </x:c>
      <x:c r="O19" s="62" t="str">
        <x:v>Migration succeeds and no-direct-read policies validate.</x:v>
      </x:c>
      <x:c r="P19" s="62" t="str"/>
      <x:c r="Q19" s="62" t="str">
        <x:v>3</x:v>
      </x:c>
      <x:c r="R19" s="62" t="str">
        <x:v>Never production during Task 3B.</x:v>
      </x:c>
    </x:row>
    <x:row r="20" ht="42" customHeight="1">
      <x:c r="A20" s="62" t="str">
        <x:v>M2-019</x:v>
      </x:c>
      <x:c r="B20" s="62" t="str">
        <x:v>M2-03</x:v>
      </x:c>
      <x:c r="C20" s="62" t="str">
        <x:v>Stage data foundation</x:v>
      </x:c>
      <x:c r="D20" s="62" t="str">
        <x:v>P0</x:v>
      </x:c>
      <x:c r="E20" s="62" t="str">
        <x:v>Import normalized reference and historical data</x:v>
      </x:c>
      <x:c r="F20" s="62" t="str">
        <x:v>Load non-sensitive prepared-v2 datasets idempotently.</x:v>
      </x:c>
      <x:c r="G20" s="62" t="str">
        <x:v>Model/Data owner</x:v>
      </x:c>
      <x:c r="H20" s="62" t="str">
        <x:v>Backlog</x:v>
      </x:c>
      <x:c r="I20" s="62" t="str">
        <x:v>M2-018</x:v>
      </x:c>
      <x:c r="J20" s="62" t="str">
        <x:v>integration/prediction-intelligence-v2</x:v>
      </x:c>
      <x:c r="K20" s="62" t="str">
        <x:v>feature/task3b-stage-import</x:v>
      </x:c>
      <x:c r="L20" s="62" t="str">
        <x:v>Stage</x:v>
      </x:c>
      <x:c r="M20" s="62" t="str">
        <x:v>No</x:v>
      </x:c>
      <x:c r="N20" s="62" t="str">
        <x:v>No</x:v>
      </x:c>
      <x:c r="O20" s="62" t="str">
        <x:v>Counts, links, checksums, lineage match manifests.</x:v>
      </x:c>
      <x:c r="P20" s="62" t="str"/>
      <x:c r="Q20" s="62" t="str">
        <x:v>6</x:v>
      </x:c>
      <x:c r="R20" s="62" t="str">
        <x:v>No users/payments/entitlements.</x:v>
      </x:c>
    </x:row>
    <x:row r="21" ht="42" customHeight="1">
      <x:c r="A21" s="62" t="str">
        <x:v>M2-020</x:v>
      </x:c>
      <x:c r="B21" s="62" t="str">
        <x:v>M2-03</x:v>
      </x:c>
      <x:c r="C21" s="62" t="str">
        <x:v>Stage data foundation</x:v>
      </x:c>
      <x:c r="D21" s="62" t="str">
        <x:v>P0</x:v>
      </x:c>
      <x:c r="E21" s="62" t="str">
        <x:v>Prove import idempotency</x:v>
      </x:c>
      <x:c r="F21" s="62" t="str">
        <x:v>Rerun import and prove no duplicate/conflicting rows.</x:v>
      </x:c>
      <x:c r="G21" s="62" t="str">
        <x:v>Model/Data owner</x:v>
      </x:c>
      <x:c r="H21" s="62" t="str">
        <x:v>Backlog</x:v>
      </x:c>
      <x:c r="I21" s="62" t="str">
        <x:v>M2-019</x:v>
      </x:c>
      <x:c r="J21" s="62" t="str">
        <x:v>integration/prediction-intelligence-v2</x:v>
      </x:c>
      <x:c r="K21" s="62" t="str">
        <x:v>test/task3b-import-idempotency</x:v>
      </x:c>
      <x:c r="L21" s="62" t="str">
        <x:v>Stage</x:v>
      </x:c>
      <x:c r="M21" s="62" t="str">
        <x:v>No</x:v>
      </x:c>
      <x:c r="N21" s="62" t="str">
        <x:v>No</x:v>
      </x:c>
      <x:c r="O21" s="62" t="str">
        <x:v>Second run has zero unintended inserts and stable counts.</x:v>
      </x:c>
      <x:c r="P21" s="62" t="str"/>
      <x:c r="Q21" s="62" t="str">
        <x:v>2</x:v>
      </x:c>
      <x:c r="R21" s="62" t="str">
        <x:v>Required before archive.</x:v>
      </x:c>
    </x:row>
    <x:row r="22" ht="42" customHeight="1">
      <x:c r="A22" s="62" t="str">
        <x:v>M2-021</x:v>
      </x:c>
      <x:c r="B22" s="62" t="str">
        <x:v>M2-03</x:v>
      </x:c>
      <x:c r="C22" s="62" t="str">
        <x:v>Stage data foundation</x:v>
      </x:c>
      <x:c r="D22" s="62" t="str">
        <x:v>P0</x:v>
      </x:c>
      <x:c r="E22" s="62" t="str">
        <x:v>Persist signal snapshots</x:v>
      </x:c>
      <x:c r="F22" s="62" t="str">
        <x:v>Persist cutoff, provenance, reliability, and coverage for stage fixtures.</x:v>
      </x:c>
      <x:c r="G22" s="62" t="str">
        <x:v>Model/Data owner</x:v>
      </x:c>
      <x:c r="H22" s="62" t="str">
        <x:v>Backlog</x:v>
      </x:c>
      <x:c r="I22" s="62" t="str">
        <x:v>M2-020</x:v>
      </x:c>
      <x:c r="J22" s="62" t="str">
        <x:v>integration/prediction-intelligence-v2</x:v>
      </x:c>
      <x:c r="K22" s="62" t="str">
        <x:v>feature/task3b-signal-persistence</x:v>
      </x:c>
      <x:c r="L22" s="62" t="str">
        <x:v>Stage</x:v>
      </x:c>
      <x:c r="M22" s="62" t="str">
        <x:v>No</x:v>
      </x:c>
      <x:c r="N22" s="62" t="str">
        <x:v>No</x:v>
      </x:c>
      <x:c r="O22" s="62" t="str">
        <x:v>Signals are immutable by cutoff and RLS-safe.</x:v>
      </x:c>
      <x:c r="P22" s="62" t="str"/>
      <x:c r="Q22" s="62" t="str">
        <x:v>5</x:v>
      </x:c>
      <x:c r="R22" s="62" t="str">
        <x:v>Weak/late signals handled honestly.</x:v>
      </x:c>
    </x:row>
    <x:row r="23" ht="42" customHeight="1">
      <x:c r="A23" s="62" t="str">
        <x:v>M2-022</x:v>
      </x:c>
      <x:c r="B23" s="62" t="str">
        <x:v>M2-03</x:v>
      </x:c>
      <x:c r="C23" s="62" t="str">
        <x:v>Stage data foundation</x:v>
      </x:c>
      <x:c r="D23" s="62" t="str">
        <x:v>P0</x:v>
      </x:c>
      <x:c r="E23" s="62" t="str">
        <x:v>Create immutable development prediction versions</x:v>
      </x:c>
      <x:c r="F23" s="62" t="str">
        <x:v>Generate v2 versions only for not-started fixtures with lineage.</x:v>
      </x:c>
      <x:c r="G23" s="62" t="str">
        <x:v>Model/Data owner</x:v>
      </x:c>
      <x:c r="H23" s="62" t="str">
        <x:v>Backlog</x:v>
      </x:c>
      <x:c r="I23" s="62" t="str">
        <x:v>M2-021,M2-015</x:v>
      </x:c>
      <x:c r="J23" s="62" t="str">
        <x:v>integration/prediction-intelligence-v2</x:v>
      </x:c>
      <x:c r="K23" s="62" t="str">
        <x:v>feature/task3b-dev-predictions</x:v>
      </x:c>
      <x:c r="L23" s="62" t="str">
        <x:v>Stage</x:v>
      </x:c>
      <x:c r="M23" s="62" t="str">
        <x:v>No</x:v>
      </x:c>
      <x:c r="N23" s="62" t="str">
        <x:v>No</x:v>
      </x:c>
      <x:c r="O23" s="62" t="str">
        <x:v>Started fixtures rejected; versions immutable; rerun idempotent.</x:v>
      </x:c>
      <x:c r="P23" s="62" t="str"/>
      <x:c r="Q23" s="62" t="str">
        <x:v>5</x:v>
      </x:c>
      <x:c r="R23" s="62" t="str">
        <x:v>No production publication.</x:v>
      </x:c>
    </x:row>
    <x:row r="24" ht="42" customHeight="1">
      <x:c r="A24" s="62" t="str">
        <x:v>M2-023</x:v>
      </x:c>
      <x:c r="B24" s="62" t="str">
        <x:v>M2-03</x:v>
      </x:c>
      <x:c r="C24" s="62" t="str">
        <x:v>Stage data foundation</x:v>
      </x:c>
      <x:c r="D24" s="62" t="str">
        <x:v>P0</x:v>
      </x:c>
      <x:c r="E24" s="62" t="str">
        <x:v>Validate RLS, localization, venues, and stage UI</x:v>
      </x:c>
      <x:c r="F24" s="62" t="str">
        <x:v>Validate public/admin projections and Spanish presentation.</x:v>
      </x:c>
      <x:c r="G24" s="62" t="str">
        <x:v>Model/Data owner</x:v>
      </x:c>
      <x:c r="H24" s="62" t="str">
        <x:v>Backlog</x:v>
      </x:c>
      <x:c r="I24" s="62" t="str">
        <x:v>M2-022</x:v>
      </x:c>
      <x:c r="J24" s="62" t="str">
        <x:v>integration/prediction-intelligence-v2</x:v>
      </x:c>
      <x:c r="K24" s="62" t="str">
        <x:v>test/task3b-stage-product-validation</x:v>
      </x:c>
      <x:c r="L24" s="62" t="str">
        <x:v>Stage</x:v>
      </x:c>
      <x:c r="M24" s="62" t="str">
        <x:v>No</x:v>
      </x:c>
      <x:c r="N24" s="62" t="str">
        <x:v>No</x:v>
      </x:c>
      <x:c r="O24" s="62" t="str">
        <x:v>No protected leakage; aliases, venues, localization render correctly.</x:v>
      </x:c>
      <x:c r="P24" s="62" t="str"/>
      <x:c r="Q24" s="62" t="str">
        <x:v>5</x:v>
      </x:c>
      <x:c r="R24" s="62" t="str">
        <x:v>Stage Auth remains functional.</x:v>
      </x:c>
    </x:row>
    <x:row r="25" ht="42" customHeight="1">
      <x:c r="A25" s="62" t="str">
        <x:v>M2-024</x:v>
      </x:c>
      <x:c r="B25" s="62" t="str">
        <x:v>M2-04</x:v>
      </x:c>
      <x:c r="C25" s="62" t="str">
        <x:v>Model release</x:v>
      </x:c>
      <x:c r="D25" s="62" t="str">
        <x:v>P0</x:v>
      </x:c>
      <x:c r="E25" s="62" t="str">
        <x:v>Run controlled v1/v2 stage comparison</x:v>
      </x:c>
      <x:c r="F25" s="62" t="str">
        <x:v>Compare v1 and gated v2 with identical fixtures, cutoffs, and data availability.</x:v>
      </x:c>
      <x:c r="G25" s="62" t="str">
        <x:v>Model owner</x:v>
      </x:c>
      <x:c r="H25" s="62" t="str">
        <x:v>Backlog</x:v>
      </x:c>
      <x:c r="I25" s="62" t="str">
        <x:v>M2-023</x:v>
      </x:c>
      <x:c r="J25" s="62" t="str">
        <x:v>integration/prediction-intelligence-v2</x:v>
      </x:c>
      <x:c r="K25" s="62" t="str">
        <x:v>experiment/v1-v2-stage-comparison</x:v>
      </x:c>
      <x:c r="L25" s="62" t="str">
        <x:v>Stage</x:v>
      </x:c>
      <x:c r="M25" s="62" t="str">
        <x:v>No</x:v>
      </x:c>
      <x:c r="N25" s="62" t="str">
        <x:v>No</x:v>
      </x:c>
      <x:c r="O25" s="62" t="str">
        <x:v>Metrics, scenarios, evidence, missing signals, regressions documented.</x:v>
      </x:c>
      <x:c r="P25" s="62" t="str"/>
      <x:c r="Q25" s="62" t="str">
        <x:v>5</x:v>
      </x:c>
      <x:c r="R25" s="62" t="str">
        <x:v>No tiny-holdout marketing.</x:v>
      </x:c>
    </x:row>
    <x:row r="26" ht="42" customHeight="1">
      <x:c r="A26" s="62" t="str">
        <x:v>M2-025</x:v>
      </x:c>
      <x:c r="B26" s="62" t="str">
        <x:v>M2-04</x:v>
      </x:c>
      <x:c r="C26" s="62" t="str">
        <x:v>Model release</x:v>
      </x:c>
      <x:c r="D26" s="62" t="str">
        <x:v>P0</x:v>
      </x:c>
      <x:c r="E26" s="62" t="str">
        <x:v>Choose production release mode</x:v>
      </x:c>
      <x:c r="F26" s="62" t="str">
        <x:v>Select v1 probability + v2 analysis or gated v2 probability + v2 analysis.</x:v>
      </x:c>
      <x:c r="G26" s="62" t="str">
        <x:v>Owner + Model owner</x:v>
      </x:c>
      <x:c r="H26" s="62" t="str">
        <x:v>Backlog</x:v>
      </x:c>
      <x:c r="I26" s="62" t="str">
        <x:v>M2-024</x:v>
      </x:c>
      <x:c r="J26" s="62" t="str">
        <x:v>integration/prediction-intelligence-v2</x:v>
      </x:c>
      <x:c r="K26" s="62" t="str">
        <x:v>docs/v2-release-decision</x:v>
      </x:c>
      <x:c r="L26" s="62" t="str">
        <x:v>Stage</x:v>
      </x:c>
      <x:c r="M26" s="62" t="str">
        <x:v>No</x:v>
      </x:c>
      <x:c r="N26" s="62" t="str">
        <x:v>No</x:v>
      </x:c>
      <x:c r="O26" s="62" t="str">
        <x:v>Decision records metrics, tradeoffs, rollout, rollback, proprietary boundary.</x:v>
      </x:c>
      <x:c r="P26" s="62" t="str"/>
      <x:c r="Q26" s="62" t="str">
        <x:v>2</x:v>
      </x:c>
      <x:c r="R26" s="62" t="str">
        <x:v>Human owner decision.</x:v>
      </x:c>
    </x:row>
    <x:row r="27" ht="42" customHeight="1">
      <x:c r="A27" s="62" t="str">
        <x:v>M2-026</x:v>
      </x:c>
      <x:c r="B27" s="62" t="str">
        <x:v>M2-04</x:v>
      </x:c>
      <x:c r="C27" s="62" t="str">
        <x:v>Model release</x:v>
      </x:c>
      <x:c r="D27" s="62" t="str">
        <x:v>P0</x:v>
      </x:c>
      <x:c r="E27" s="62" t="str">
        <x:v>Prepare production promotion plan</x:v>
      </x:c>
      <x:c r="F27" s="62" t="str">
        <x:v>Define migration, data load, rollback, cutoff, and regression plan.</x:v>
      </x:c>
      <x:c r="G27" s="62" t="str">
        <x:v>Model/Data owner</x:v>
      </x:c>
      <x:c r="H27" s="62" t="str">
        <x:v>Backlog</x:v>
      </x:c>
      <x:c r="I27" s="62" t="str">
        <x:v>M2-025</x:v>
      </x:c>
      <x:c r="J27" s="62" t="str">
        <x:v>integration/prediction-intelligence-v2</x:v>
      </x:c>
      <x:c r="K27" s="62" t="str">
        <x:v>release/v2-production-promotion-plan</x:v>
      </x:c>
      <x:c r="L27" s="62" t="str">
        <x:v>Stage/Production plan</x:v>
      </x:c>
      <x:c r="M27" s="62" t="str">
        <x:v>No</x:v>
      </x:c>
      <x:c r="N27" s="62" t="str">
        <x:v>Yes</x:v>
      </x:c>
      <x:c r="O27" s="62" t="str">
        <x:v>Owner-approved plan proves no commercial/public/admin regression.</x:v>
      </x:c>
      <x:c r="P27" s="62" t="str"/>
      <x:c r="Q27" s="62" t="str">
        <x:v>4</x:v>
      </x:c>
      <x:c r="R27" s="62" t="str">
        <x:v>No production write yet.</x:v>
      </x:c>
    </x:row>
    <x:row r="28" ht="42" customHeight="1">
      <x:c r="A28" s="62" t="str">
        <x:v>M2-027</x:v>
      </x:c>
      <x:c r="B28" s="62" t="str">
        <x:v>M2-05</x:v>
      </x:c>
      <x:c r="C28" s="62" t="str">
        <x:v>Ops automation</x:v>
      </x:c>
      <x:c r="D28" s="62" t="str">
        <x:v>P1</x:v>
      </x:c>
      <x:c r="E28" s="62" t="str">
        <x:v>Build batch fixture discovery command</x:v>
      </x:c>
      <x:c r="F28" s="62" t="str">
        <x:v>Reusable command/report for competition/date/official-manifest discovery.</x:v>
      </x:c>
      <x:c r="G28" s="62" t="str">
        <x:v>Parallel engineer</x:v>
      </x:c>
      <x:c r="H28" s="62" t="str">
        <x:v>Backlog</x:v>
      </x:c>
      <x:c r="I28" s="62" t="str">
        <x:v>M2-011</x:v>
      </x:c>
      <x:c r="J28" s="62" t="str">
        <x:v>main</x:v>
      </x:c>
      <x:c r="K28" s="62" t="str">
        <x:v>feature/ops-batch-fixture-discovery</x:v>
      </x:c>
      <x:c r="L28" s="62" t="str">
        <x:v>Production-safe read</x:v>
      </x:c>
      <x:c r="M28" s="62" t="str">
        <x:v>Yes</x:v>
      </x:c>
      <x:c r="N28" s="62" t="str">
        <x:v>No</x:v>
      </x:c>
      <x:c r="O28" s="62" t="str">
        <x:v>One run outputs IDs and DB/link state without writes.</x:v>
      </x:c>
      <x:c r="P28" s="62" t="str"/>
      <x:c r="Q28" s="62" t="str">
        <x:v>4</x:v>
      </x:c>
      <x:c r="R28" s="62" t="str">
        <x:v>Independent of v2.</x:v>
      </x:c>
    </x:row>
    <x:row r="29" ht="42" customHeight="1">
      <x:c r="A29" s="62" t="str">
        <x:v>M2-028</x:v>
      </x:c>
      <x:c r="B29" s="62" t="str">
        <x:v>M2-05</x:v>
      </x:c>
      <x:c r="C29" s="62" t="str">
        <x:v>Ops automation</x:v>
      </x:c>
      <x:c r="D29" s="62" t="str">
        <x:v>P1</x:v>
      </x:c>
      <x:c r="E29" s="62" t="str">
        <x:v>Build bounded status/result refresh</x:v>
      </x:c>
      <x:c r="F29" s="62" t="str">
        <x:v>Refresh relevant fixtures and ingest terminal results to pending_review.</x:v>
      </x:c>
      <x:c r="G29" s="62" t="str">
        <x:v>Parallel engineer</x:v>
      </x:c>
      <x:c r="H29" s="62" t="str">
        <x:v>Backlog</x:v>
      </x:c>
      <x:c r="I29" s="62" t="str">
        <x:v>M2-027</x:v>
      </x:c>
      <x:c r="J29" s="62" t="str">
        <x:v>main</x:v>
      </x:c>
      <x:c r="K29" s="62" t="str">
        <x:v>feature/ops-bounded-result-refresh</x:v>
      </x:c>
      <x:c r="L29" s="62" t="str">
        <x:v>Production</x:v>
      </x:c>
      <x:c r="M29" s="62" t="str">
        <x:v>Yes</x:v>
      </x:c>
      <x:c r="N29" s="62" t="str">
        <x:v>Yes</x:v>
      </x:c>
      <x:c r="O29" s="62" t="str">
        <x:v>Dry-run/report/apply; idempotent rerun; no auto-verification.</x:v>
      </x:c>
      <x:c r="P29" s="62" t="str"/>
      <x:c r="Q29" s="62" t="str">
        <x:v>6</x:v>
      </x:c>
      <x:c r="R29" s="62" t="str">
        <x:v>No broad silent apply.</x:v>
      </x:c>
    </x:row>
    <x:row r="30" ht="42" customHeight="1">
      <x:c r="A30" s="62" t="str">
        <x:v>M2-029</x:v>
      </x:c>
      <x:c r="B30" s="62" t="str">
        <x:v>M2-05</x:v>
      </x:c>
      <x:c r="C30" s="62" t="str">
        <x:v>Ops automation</x:v>
      </x:c>
      <x:c r="D30" s="62" t="str">
        <x:v>P1</x:v>
      </x:c>
      <x:c r="E30" s="62" t="str">
        <x:v>Schedule once/twice-daily refresh</x:v>
      </x:c>
      <x:c r="F30" s="62" t="str">
        <x:v>Run bounded refresh with retries and target guards.</x:v>
      </x:c>
      <x:c r="G30" s="62" t="str">
        <x:v>Parallel engineer</x:v>
      </x:c>
      <x:c r="H30" s="62" t="str">
        <x:v>Backlog</x:v>
      </x:c>
      <x:c r="I30" s="62" t="str">
        <x:v>M2-028</x:v>
      </x:c>
      <x:c r="J30" s="62" t="str">
        <x:v>main</x:v>
      </x:c>
      <x:c r="K30" s="62" t="str">
        <x:v>feature/ops-scheduled-fixture-refresh</x:v>
      </x:c>
      <x:c r="L30" s="62" t="str">
        <x:v>Production</x:v>
      </x:c>
      <x:c r="M30" s="62" t="str">
        <x:v>Yes</x:v>
      </x:c>
      <x:c r="N30" s="62" t="str">
        <x:v>Yes</x:v>
      </x:c>
      <x:c r="O30" s="62" t="str">
        <x:v>Scheduled runs log success/failure and do not duplicate.</x:v>
      </x:c>
      <x:c r="P30" s="62" t="str"/>
      <x:c r="Q30" s="62" t="str">
        <x:v>5</x:v>
      </x:c>
      <x:c r="R30" s="62" t="str">
        <x:v>Extra runs around dense windows.</x:v>
      </x:c>
    </x:row>
    <x:row r="31" ht="42" customHeight="1">
      <x:c r="A31" s="62" t="str">
        <x:v>M2-030</x:v>
      </x:c>
      <x:c r="B31" s="62" t="str">
        <x:v>M2-05</x:v>
      </x:c>
      <x:c r="C31" s="62" t="str">
        <x:v>Ops automation</x:v>
      </x:c>
      <x:c r="D31" s="62" t="str">
        <x:v>P1</x:v>
      </x:c>
      <x:c r="E31" s="62" t="str">
        <x:v>Add operator notifications and run logs</x:v>
      </x:c>
      <x:c r="F31" s="62" t="str">
        <x:v>Surface pending review/evaluation counts and failures without secrets.</x:v>
      </x:c>
      <x:c r="G31" s="62" t="str">
        <x:v>Parallel engineer</x:v>
      </x:c>
      <x:c r="H31" s="62" t="str">
        <x:v>Backlog</x:v>
      </x:c>
      <x:c r="I31" s="62" t="str">
        <x:v>M2-028</x:v>
      </x:c>
      <x:c r="J31" s="62" t="str">
        <x:v>main</x:v>
      </x:c>
      <x:c r="K31" s="62" t="str">
        <x:v>feature/ops-run-logging-notifications</x:v>
      </x:c>
      <x:c r="L31" s="62" t="str">
        <x:v>Production</x:v>
      </x:c>
      <x:c r="M31" s="62" t="str">
        <x:v>Yes</x:v>
      </x:c>
      <x:c r="N31" s="62" t="str">
        <x:v>No</x:v>
      </x:c>
      <x:c r="O31" s="62" t="str">
        <x:v>Actionable summary includes run ID, counts, retry guidance.</x:v>
      </x:c>
      <x:c r="P31" s="62" t="str"/>
      <x:c r="Q31" s="62" t="str">
        <x:v>4</x:v>
      </x:c>
      <x:c r="R31" s="62" t="str">
        <x:v>No raw sensitive payloads.</x:v>
      </x:c>
    </x:row>
    <x:row r="32" ht="42" customHeight="1">
      <x:c r="A32" s="62" t="str">
        <x:v>M2-031</x:v>
      </x:c>
      <x:c r="B32" s="62" t="str">
        <x:v>M2-05</x:v>
      </x:c>
      <x:c r="C32" s="62" t="str">
        <x:v>Ops automation</x:v>
      </x:c>
      <x:c r="D32" s="62" t="str">
        <x:v>P1</x:v>
      </x:c>
      <x:c r="E32" s="62" t="str">
        <x:v>Add bounded batch evaluation persistence</x:v>
      </x:c>
      <x:c r="F32" s="62" t="str">
        <x:v>Allow selected verified rows to persist evaluations in one controlled action.</x:v>
      </x:c>
      <x:c r="G32" s="62" t="str">
        <x:v>Parallel engineer</x:v>
      </x:c>
      <x:c r="H32" s="62" t="str">
        <x:v>Backlog</x:v>
      </x:c>
      <x:c r="I32" s="62" t="str">
        <x:v>M2-030</x:v>
      </x:c>
      <x:c r="J32" s="62" t="str">
        <x:v>main</x:v>
      </x:c>
      <x:c r="K32" s="62" t="str">
        <x:v>feature/ops-batch-evaluation-persistence</x:v>
      </x:c>
      <x:c r="L32" s="62" t="str">
        <x:v>Production</x:v>
      </x:c>
      <x:c r="M32" s="62" t="str">
        <x:v>Yes</x:v>
      </x:c>
      <x:c r="N32" s="62" t="str">
        <x:v>No</x:v>
      </x:c>
      <x:c r="O32" s="62" t="str">
        <x:v>Rows persist once; failures report; queue counts update.</x:v>
      </x:c>
      <x:c r="P32" s="62" t="str"/>
      <x:c r="Q32" s="62" t="str">
        <x:v>5</x:v>
      </x:c>
      <x:c r="R32" s="62" t="str">
        <x:v>Human verification already completed.</x:v>
      </x:c>
    </x:row>
    <x:row r="33" ht="42" customHeight="1">
      <x:c r="A33" s="62" t="str">
        <x:v>M2-032</x:v>
      </x:c>
      <x:c r="B33" s="62" t="str">
        <x:v>M2-05</x:v>
      </x:c>
      <x:c r="C33" s="62" t="str">
        <x:v>Ops automation</x:v>
      </x:c>
      <x:c r="D33" s="62" t="str">
        <x:v>P2</x:v>
      </x:c>
      <x:c r="E33" s="62" t="str">
        <x:v>Automate recurring signal refresh</x:v>
      </x:c>
      <x:c r="F33" s="62" t="str">
        <x:v>After v2 stage stabilization, refresh approved pre-match signals and versions.</x:v>
      </x:c>
      <x:c r="G33" s="62" t="str">
        <x:v>Model/Data owner</x:v>
      </x:c>
      <x:c r="H33" s="62" t="str">
        <x:v>Deferred</x:v>
      </x:c>
      <x:c r="I33" s="62" t="str">
        <x:v>M2-023,M2-029</x:v>
      </x:c>
      <x:c r="J33" s="62" t="str">
        <x:v>integration/prediction-intelligence-v2</x:v>
      </x:c>
      <x:c r="K33" s="62" t="str">
        <x:v>feature/v2-recurring-signal-refresh</x:v>
      </x:c>
      <x:c r="L33" s="62" t="str">
        <x:v>Stage</x:v>
      </x:c>
      <x:c r="M33" s="62" t="str">
        <x:v>No</x:v>
      </x:c>
      <x:c r="N33" s="62" t="str">
        <x:v>No</x:v>
      </x:c>
      <x:c r="O33" s="62" t="str">
        <x:v>Cutoff/provenance preserved; started fixtures rejected.</x:v>
      </x:c>
      <x:c r="P33" s="62" t="str"/>
      <x:c r="Q33" s="62" t="str">
        <x:v>6</x:v>
      </x:c>
      <x:c r="R33" s="62" t="str">
        <x:v>Not required before Task 3B exit.</x:v>
      </x:c>
    </x:row>
    <x:row r="34" ht="42" customHeight="1">
      <x:c r="A34" s="62" t="str">
        <x:v>M2-033</x:v>
      </x:c>
      <x:c r="B34" s="62" t="str">
        <x:v>M2-06</x:v>
      </x:c>
      <x:c r="C34" s="62" t="str">
        <x:v>MVP1 UI/UX</x:v>
      </x:c>
      <x:c r="D34" s="62" t="str">
        <x:v>P1</x:v>
      </x:c>
      <x:c r="E34" s="62" t="str">
        <x:v>Mobile and accessibility polish</x:v>
      </x:c>
      <x:c r="F34" s="62" t="str">
        <x:v>Improve focus, contrast, tap targets, responsive layout, and key flows.</x:v>
      </x:c>
      <x:c r="G34" s="62" t="str">
        <x:v>Parallel engineer</x:v>
      </x:c>
      <x:c r="H34" s="62" t="str">
        <x:v>Backlog</x:v>
      </x:c>
      <x:c r="I34" s="62" t="str">
        <x:v>M2-001</x:v>
      </x:c>
      <x:c r="J34" s="62" t="str">
        <x:v>main</x:v>
      </x:c>
      <x:c r="K34" s="62" t="str">
        <x:v>feature/mvp1-mobile-accessibility-polish</x:v>
      </x:c>
      <x:c r="L34" s="62" t="str">
        <x:v>Production</x:v>
      </x:c>
      <x:c r="M34" s="62" t="str">
        <x:v>Yes</x:v>
      </x:c>
      <x:c r="N34" s="62" t="str">
        <x:v>No</x:v>
      </x:c>
      <x:c r="O34" s="62" t="str">
        <x:v>Focused tests and mobile smoke pass; no model contract change.</x:v>
      </x:c>
      <x:c r="P34" s="62" t="str"/>
      <x:c r="Q34" s="62" t="str">
        <x:v>5</x:v>
      </x:c>
      <x:c r="R34" s="62" t="str">
        <x:v>Independent microrelease.</x:v>
      </x:c>
    </x:row>
    <x:row r="35" ht="42" customHeight="1">
      <x:c r="A35" s="62" t="str">
        <x:v>M2-034</x:v>
      </x:c>
      <x:c r="B35" s="62" t="str">
        <x:v>M2-06</x:v>
      </x:c>
      <x:c r="C35" s="62" t="str">
        <x:v>MVP1 UI/UX</x:v>
      </x:c>
      <x:c r="D35" s="62" t="str">
        <x:v>P1</x:v>
      </x:c>
      <x:c r="E35" s="62" t="str">
        <x:v>Improve loading, empty, and error states</x:v>
      </x:c>
      <x:c r="F35" s="62" t="str">
        <x:v>Clarify public/admin states and reduce ambiguous technical copy.</x:v>
      </x:c>
      <x:c r="G35" s="62" t="str">
        <x:v>Parallel engineer</x:v>
      </x:c>
      <x:c r="H35" s="62" t="str">
        <x:v>Backlog</x:v>
      </x:c>
      <x:c r="I35" s="62" t="str">
        <x:v>M2-001</x:v>
      </x:c>
      <x:c r="J35" s="62" t="str">
        <x:v>main</x:v>
      </x:c>
      <x:c r="K35" s="62" t="str">
        <x:v>feature/mvp1-ui-states-polish</x:v>
      </x:c>
      <x:c r="L35" s="62" t="str">
        <x:v>Production</x:v>
      </x:c>
      <x:c r="M35" s="62" t="str">
        <x:v>Yes</x:v>
      </x:c>
      <x:c r="N35" s="62" t="str">
        <x:v>No</x:v>
      </x:c>
      <x:c r="O35" s="62" t="str">
        <x:v>No dead ends; errors actionable and safe.</x:v>
      </x:c>
      <x:c r="P35" s="62" t="str"/>
      <x:c r="Q35" s="62" t="str">
        <x:v>4</x:v>
      </x:c>
      <x:c r="R35" s="62" t="str">
        <x:v>Independent microrelease.</x:v>
      </x:c>
    </x:row>
    <x:row r="36" ht="42" customHeight="1">
      <x:c r="A36" s="62" t="str">
        <x:v>M2-035</x:v>
      </x:c>
      <x:c r="B36" s="62" t="str">
        <x:v>M2-06</x:v>
      </x:c>
      <x:c r="C36" s="62" t="str">
        <x:v>MVP1 UI/UX</x:v>
      </x:c>
      <x:c r="D36" s="62" t="str">
        <x:v>P2</x:v>
      </x:c>
      <x:c r="E36" s="62" t="str">
        <x:v>Refine visual hierarchy and UFO/football character</x:v>
      </x:c>
      <x:c r="F36" s="62" t="str">
        <x:v>Use restrained motion, blur, glow, spacing, and cards without broad redesign.</x:v>
      </x:c>
      <x:c r="G36" s="62" t="str">
        <x:v>Parallel engineer</x:v>
      </x:c>
      <x:c r="H36" s="62" t="str">
        <x:v>Backlog</x:v>
      </x:c>
      <x:c r="I36" s="62" t="str">
        <x:v>M2-001</x:v>
      </x:c>
      <x:c r="J36" s="62" t="str">
        <x:v>main</x:v>
      </x:c>
      <x:c r="K36" s="62" t="str">
        <x:v>feature/mvp1-visual-polish</x:v>
      </x:c>
      <x:c r="L36" s="62" t="str">
        <x:v>Production</x:v>
      </x:c>
      <x:c r="M36" s="62" t="str">
        <x:v>Yes</x:v>
      </x:c>
      <x:c r="N36" s="62" t="str">
        <x:v>No</x:v>
      </x:c>
      <x:c r="O36" s="62" t="str">
        <x:v>Readable, performant, tier-consistent screens.</x:v>
      </x:c>
      <x:c r="P36" s="62" t="str"/>
      <x:c r="Q36" s="62" t="str">
        <x:v>4</x:v>
      </x:c>
      <x:c r="R36" s="62" t="str">
        <x:v>No architecture rewrite.</x:v>
      </x:c>
    </x:row>
    <x:row r="37" ht="42" customHeight="1">
      <x:c r="A37" s="62" t="str">
        <x:v>M2-036</x:v>
      </x:c>
      <x:c r="B37" s="62" t="str">
        <x:v>M2-06</x:v>
      </x:c>
      <x:c r="C37" s="62" t="str">
        <x:v>MVP1 UI/UX</x:v>
      </x:c>
      <x:c r="D37" s="62" t="str">
        <x:v>P2</x:v>
      </x:c>
      <x:c r="E37" s="62" t="str">
        <x:v>Improve admin queue ergonomics</x:v>
      </x:c>
      <x:c r="F37" s="62" t="str">
        <x:v>Reduce repetitive clicks and clarify batch/empty states.</x:v>
      </x:c>
      <x:c r="G37" s="62" t="str">
        <x:v>Parallel engineer</x:v>
      </x:c>
      <x:c r="H37" s="62" t="str">
        <x:v>Backlog</x:v>
      </x:c>
      <x:c r="I37" s="62" t="str">
        <x:v>M2-001</x:v>
      </x:c>
      <x:c r="J37" s="62" t="str">
        <x:v>main</x:v>
      </x:c>
      <x:c r="K37" s="62" t="str">
        <x:v>feature/admin-ops-ux-polish</x:v>
      </x:c>
      <x:c r="L37" s="62" t="str">
        <x:v>Production</x:v>
      </x:c>
      <x:c r="M37" s="62" t="str">
        <x:v>Yes</x:v>
      </x:c>
      <x:c r="N37" s="62" t="str">
        <x:v>No</x:v>
      </x:c>
      <x:c r="O37" s="62" t="str">
        <x:v>Routine ops work does not require Real Fixture Lab.</x:v>
      </x:c>
      <x:c r="P37" s="62" t="str"/>
      <x:c r="Q37" s="62" t="str">
        <x:v>4</x:v>
      </x:c>
      <x:c r="R37" s="62" t="str">
        <x:v>Do not weaken guards.</x:v>
      </x:c>
    </x:row>
    <x:row r="38" ht="42" customHeight="1">
      <x:c r="A38" s="62" t="str">
        <x:v>M2-037</x:v>
      </x:c>
      <x:c r="B38" s="62" t="str">
        <x:v>M2-06</x:v>
      </x:c>
      <x:c r="C38" s="62" t="str">
        <x:v>MVP1 UI/UX</x:v>
      </x:c>
      <x:c r="D38" s="62" t="str">
        <x:v>P2</x:v>
      </x:c>
      <x:c r="E38" s="62" t="str">
        <x:v>Add conversion and CTA measurement</x:v>
      </x:c>
      <x:c r="F38" s="62" t="str">
        <x:v>Measure registration, pricing, checkout start, and upgrade journeys.</x:v>
      </x:c>
      <x:c r="G38" s="62" t="str">
        <x:v>Parallel engineer</x:v>
      </x:c>
      <x:c r="H38" s="62" t="str">
        <x:v>Backlog</x:v>
      </x:c>
      <x:c r="I38" s="62" t="str">
        <x:v>M2-001</x:v>
      </x:c>
      <x:c r="J38" s="62" t="str">
        <x:v>main</x:v>
      </x:c>
      <x:c r="K38" s="62" t="str">
        <x:v>feature/commercial-conversion-analytics</x:v>
      </x:c>
      <x:c r="L38" s="62" t="str">
        <x:v>Production</x:v>
      </x:c>
      <x:c r="M38" s="62" t="str">
        <x:v>Yes</x:v>
      </x:c>
      <x:c r="N38" s="62" t="str">
        <x:v>No</x:v>
      </x:c>
      <x:c r="O38" s="62" t="str">
        <x:v>Privacy-safe events distinguish anonymous/free/premium paths.</x:v>
      </x:c>
      <x:c r="P38" s="62" t="str"/>
      <x:c r="Q38" s="62" t="str">
        <x:v>4</x:v>
      </x:c>
      <x:c r="R38" s="62" t="str">
        <x:v>Owner approves provider.</x:v>
      </x:c>
    </x:row>
    <x:row r="39" ht="42" customHeight="1">
      <x:c r="A39" s="62" t="str">
        <x:v>M2-038</x:v>
      </x:c>
      <x:c r="B39" s="62" t="str">
        <x:v>M2-07</x:v>
      </x:c>
      <x:c r="C39" s="62" t="str">
        <x:v>Internationalization</x:v>
      </x:c>
      <x:c r="D39" s="62" t="str">
        <x:v>P2</x:v>
      </x:c>
      <x:c r="E39" s="62" t="str">
        <x:v>Design locale-neutral i18n architecture</x:v>
      </x:c>
      <x:c r="F39" s="62" t="str">
        <x:v>Extract keys and define locale routing/fallback without full translation.</x:v>
      </x:c>
      <x:c r="G39" s="62" t="str">
        <x:v>Frontend owner</x:v>
      </x:c>
      <x:c r="H39" s="62" t="str">
        <x:v>Deferred</x:v>
      </x:c>
      <x:c r="I39" s="62" t="str">
        <x:v>M2-026</x:v>
      </x:c>
      <x:c r="J39" s="62" t="str">
        <x:v>main</x:v>
      </x:c>
      <x:c r="K39" s="62" t="str">
        <x:v>feature/i18n-foundation</x:v>
      </x:c>
      <x:c r="L39" s="62" t="str">
        <x:v>Production</x:v>
      </x:c>
      <x:c r="M39" s="62" t="str">
        <x:v>Yes</x:v>
      </x:c>
      <x:c r="N39" s="62" t="str">
        <x:v>No</x:v>
      </x:c>
      <x:c r="O39" s="62" t="str">
        <x:v>Spanish default; canonical entities locale-neutral; routes stable.</x:v>
      </x:c>
      <x:c r="P39" s="62" t="str"/>
      <x:c r="Q39" s="62" t="str">
        <x:v>5</x:v>
      </x:c>
      <x:c r="R39" s="62" t="str">
        <x:v>Start after v2 merge.</x:v>
      </x:c>
    </x:row>
    <x:row r="40" ht="42" customHeight="1">
      <x:c r="A40" s="62" t="str">
        <x:v>M2-039</x:v>
      </x:c>
      <x:c r="B40" s="62" t="str">
        <x:v>M2-07</x:v>
      </x:c>
      <x:c r="C40" s="62" t="str">
        <x:v>Internationalization</x:v>
      </x:c>
      <x:c r="D40" s="62" t="str">
        <x:v>P2</x:v>
      </x:c>
      <x:c r="E40" s="62" t="str">
        <x:v>Add English public/product copy</x:v>
      </x:c>
      <x:c r="F40" s="62" t="str">
        <x:v>Translate core public, pricing, Auth, dashboard, and transparency surfaces.</x:v>
      </x:c>
      <x:c r="G40" s="62" t="str">
        <x:v>Frontend owner</x:v>
      </x:c>
      <x:c r="H40" s="62" t="str">
        <x:v>Deferred</x:v>
      </x:c>
      <x:c r="I40" s="62" t="str">
        <x:v>M2-038</x:v>
      </x:c>
      <x:c r="J40" s="62" t="str">
        <x:v>main</x:v>
      </x:c>
      <x:c r="K40" s="62" t="str">
        <x:v>feature/i18n-english</x:v>
      </x:c>
      <x:c r="L40" s="62" t="str">
        <x:v>Production</x:v>
      </x:c>
      <x:c r="M40" s="62" t="str">
        <x:v>Yes</x:v>
      </x:c>
      <x:c r="N40" s="62" t="str">
        <x:v>No</x:v>
      </x:c>
      <x:c r="O40" s="62" t="str">
        <x:v>English/Spanish smoke tests pass with equivalent meaning.</x:v>
      </x:c>
      <x:c r="P40" s="62" t="str"/>
      <x:c r="Q40" s="62" t="str">
        <x:v>6</x:v>
      </x:c>
      <x:c r="R40" s="62" t="str">
        <x:v>Portuguese later.</x:v>
      </x:c>
    </x:row>
    <x:row r="41" ht="42" customHeight="1">
      <x:c r="A41" s="62" t="str">
        <x:v>M2-040</x:v>
      </x:c>
      <x:c r="B41" s="62" t="str">
        <x:v>M2-07</x:v>
      </x:c>
      <x:c r="C41" s="62" t="str">
        <x:v>Internationalization</x:v>
      </x:c>
      <x:c r="D41" s="62" t="str">
        <x:v>P2</x:v>
      </x:c>
      <x:c r="E41" s="62" t="str">
        <x:v>Add Spanish regression and fallback tests</x:v>
      </x:c>
      <x:c r="F41" s="62" t="str">
        <x:v>Protect Spanish while English is introduced.</x:v>
      </x:c>
      <x:c r="G41" s="62" t="str">
        <x:v>Frontend owner</x:v>
      </x:c>
      <x:c r="H41" s="62" t="str">
        <x:v>Deferred</x:v>
      </x:c>
      <x:c r="I41" s="62" t="str">
        <x:v>M2-039</x:v>
      </x:c>
      <x:c r="J41" s="62" t="str">
        <x:v>main</x:v>
      </x:c>
      <x:c r="K41" s="62" t="str">
        <x:v>test/i18n-spanish-regression</x:v>
      </x:c>
      <x:c r="L41" s="62" t="str">
        <x:v>Production</x:v>
      </x:c>
      <x:c r="M41" s="62" t="str">
        <x:v>Yes</x:v>
      </x:c>
      <x:c r="N41" s="62" t="str">
        <x:v>No</x:v>
      </x:c>
      <x:c r="O41" s="62" t="str">
        <x:v>Missing keys fall back safely; no mixed critical flow.</x:v>
      </x:c>
      <x:c r="P41" s="62" t="str"/>
      <x:c r="Q41" s="62" t="str">
        <x:v>3</x:v>
      </x:c>
      <x:c r="R41" s="62" t="str">
        <x:v>Required before English release.</x:v>
      </x:c>
    </x:row>
    <x:row r="42" ht="42" customHeight="1">
      <x:c r="A42" s="62" t="str">
        <x:v>M2-041</x:v>
      </x:c>
      <x:c r="B42" s="62" t="str">
        <x:v>M2-08</x:v>
      </x:c>
      <x:c r="C42" s="62" t="str">
        <x:v>Commercial expansion</x:v>
      </x:c>
      <x:c r="D42" s="62" t="str">
        <x:v>P3</x:v>
      </x:c>
      <x:c r="E42" s="62" t="str">
        <x:v>Define provider-neutral payment adapter ADR</x:v>
      </x:c>
      <x:c r="F42" s="62" t="str">
        <x:v>Document product/payment/webhook/refund/revocation/reconciliation contracts.</x:v>
      </x:c>
      <x:c r="G42" s="62" t="str">
        <x:v>Owner + Backend</x:v>
      </x:c>
      <x:c r="H42" s="62" t="str">
        <x:v>Deferred</x:v>
      </x:c>
      <x:c r="I42" s="62" t="str">
        <x:v>M2-026</x:v>
      </x:c>
      <x:c r="J42" s="62" t="str">
        <x:v>main</x:v>
      </x:c>
      <x:c r="K42" s="62" t="str">
        <x:v>docs/payment-provider-adapter-adr</x:v>
      </x:c>
      <x:c r="L42" s="62" t="str">
        <x:v>Docs</x:v>
      </x:c>
      <x:c r="M42" s="62" t="str">
        <x:v>Yes</x:v>
      </x:c>
      <x:c r="N42" s="62" t="str">
        <x:v>No</x:v>
      </x:c>
      <x:c r="O42" s="62" t="str">
        <x:v>ADR preserves Wompi authority and duplicate prevention.</x:v>
      </x:c>
      <x:c r="P42" s="62" t="str"/>
      <x:c r="Q42" s="62" t="str">
        <x:v>3</x:v>
      </x:c>
      <x:c r="R42" s="62" t="str">
        <x:v>Not immediate blocker.</x:v>
      </x:c>
    </x:row>
    <x:row r="43" ht="42" customHeight="1">
      <x:c r="A43" s="62" t="str">
        <x:v>M2-042</x:v>
      </x:c>
      <x:c r="B43" s="62" t="str">
        <x:v>M2-08</x:v>
      </x:c>
      <x:c r="C43" s="62" t="str">
        <x:v>Commercial expansion</x:v>
      </x:c>
      <x:c r="D43" s="62" t="str">
        <x:v>P3</x:v>
      </x:c>
      <x:c r="E43" s="62" t="str">
        <x:v>Evaluate PayPal Business</x:v>
      </x:c>
      <x:c r="F43" s="62" t="str">
        <x:v>Assess fees, countries, UX, webhooks, refunds, disputes, and settlement.</x:v>
      </x:c>
      <x:c r="G43" s="62" t="str">
        <x:v>Owner</x:v>
      </x:c>
      <x:c r="H43" s="62" t="str">
        <x:v>Deferred</x:v>
      </x:c>
      <x:c r="I43" s="62" t="str">
        <x:v>M2-041</x:v>
      </x:c>
      <x:c r="J43" s="62" t="str">
        <x:v>main</x:v>
      </x:c>
      <x:c r="K43" s="62" t="str">
        <x:v>research/paypal-business</x:v>
      </x:c>
      <x:c r="L43" s="62" t="str">
        <x:v>Research</x:v>
      </x:c>
      <x:c r="M43" s="62" t="str">
        <x:v>Yes</x:v>
      </x:c>
      <x:c r="N43" s="62" t="str">
        <x:v>No</x:v>
      </x:c>
      <x:c r="O43" s="62" t="str">
        <x:v>Written go/no-go against Wompi and alternatives.</x:v>
      </x:c>
      <x:c r="P43" s="62" t="str"/>
      <x:c r="Q43" s="62" t="str">
        <x:v>3</x:v>
      </x:c>
      <x:c r="R43" s="62" t="str">
        <x:v>Hotmart is a channel decision.</x:v>
      </x:c>
    </x:row>
    <x:row r="44" ht="42" customHeight="1">
      <x:c r="A44" s="62" t="str">
        <x:v>M2-043</x:v>
      </x:c>
      <x:c r="B44" s="62" t="str">
        <x:v>M2-09</x:v>
      </x:c>
      <x:c r="C44" s="62" t="str">
        <x:v>V3 research radar</x:v>
      </x:c>
      <x:c r="D44" s="62" t="str">
        <x:v>P3</x:v>
      </x:c>
      <x:c r="E44" s="62" t="str">
        <x:v>Research lineup and star-absence signals</x:v>
      </x:c>
      <x:c r="F44" s="62" t="str">
        <x:v>Define sources, cutoff, reliability, anti-leakage for lineups/injuries/suspensions.</x:v>
      </x:c>
      <x:c r="G44" s="62" t="str">
        <x:v>Model/Data owner</x:v>
      </x:c>
      <x:c r="H44" s="62" t="str">
        <x:v>Deferred</x:v>
      </x:c>
      <x:c r="I44" s="62" t="str">
        <x:v>M2-026</x:v>
      </x:c>
      <x:c r="J44" s="62" t="str">
        <x:v>integration/prediction-intelligence-v2</x:v>
      </x:c>
      <x:c r="K44" s="62" t="str">
        <x:v>research/v3-lineup-availability-signals</x:v>
      </x:c>
      <x:c r="L44" s="62" t="str">
        <x:v>Research/Stage</x:v>
      </x:c>
      <x:c r="M44" s="62" t="str">
        <x:v>No</x:v>
      </x:c>
      <x:c r="N44" s="62" t="str">
        <x:v>No</x:v>
      </x:c>
      <x:c r="O44" s="62" t="str">
        <x:v>Research memo/source contract; no production claim.</x:v>
      </x:c>
      <x:c r="P44" s="62" t="str"/>
      <x:c r="Q44" s="62" t="str">
        <x:v>5</x:v>
      </x:c>
      <x:c r="R44" s="62" t="str">
        <x:v>Potential v3 input.</x:v>
      </x:c>
    </x:row>
    <x:row r="45" ht="42" customHeight="1">
      <x:c r="A45" s="62" t="str">
        <x:v>M2-044</x:v>
      </x:c>
      <x:c r="B45" s="62" t="str">
        <x:v>M2-09</x:v>
      </x:c>
      <x:c r="C45" s="62" t="str">
        <x:v>V3 research radar</x:v>
      </x:c>
      <x:c r="D45" s="62" t="str">
        <x:v>P3</x:v>
      </x:c>
      <x:c r="E45" s="62" t="str">
        <x:v>Research qualification-pressure and rotation context</x:v>
      </x:c>
      <x:c r="F45" s="62" t="str">
        <x:v>Model final-group need, table scenarios, rotation, rest, and travel.</x:v>
      </x:c>
      <x:c r="G45" s="62" t="str">
        <x:v>Model/Data owner</x:v>
      </x:c>
      <x:c r="H45" s="62" t="str">
        <x:v>Deferred</x:v>
      </x:c>
      <x:c r="I45" s="62" t="str">
        <x:v>M2-026</x:v>
      </x:c>
      <x:c r="J45" s="62" t="str">
        <x:v>integration/prediction-intelligence-v2</x:v>
      </x:c>
      <x:c r="K45" s="62" t="str">
        <x:v>research/v3-tournament-context</x:v>
      </x:c>
      <x:c r="L45" s="62" t="str">
        <x:v>Research/Stage</x:v>
      </x:c>
      <x:c r="M45" s="62" t="str">
        <x:v>No</x:v>
      </x:c>
      <x:c r="N45" s="62" t="str">
        <x:v>No</x:v>
      </x:c>
      <x:c r="O45" s="62" t="str">
        <x:v>Feature contract avoids subjective leakage and records cutoff.</x:v>
      </x:c>
      <x:c r="P45" s="62" t="str"/>
      <x:c r="Q45" s="62" t="str">
        <x:v>5</x:v>
      </x:c>
      <x:c r="R45" s="62" t="str">
        <x:v>Potential v3 input.</x:v>
      </x:c>
    </x:row>
    <x:row r="46" ht="42" customHeight="1">
      <x:c r="A46" s="63" t="str">
        <x:v>M2-045</x:v>
      </x:c>
      <x:c r="B46" s="63" t="str">
        <x:v>M2-09</x:v>
      </x:c>
      <x:c r="C46" s="63" t="str">
        <x:v>Governance</x:v>
      </x:c>
      <x:c r="D46" s="63" t="str">
        <x:v>P2</x:v>
      </x:c>
      <x:c r="E46" s="63" t="str">
        <x:v>Owner decision on terms, privacy, and legal pages</x:v>
      </x:c>
      <x:c r="F46" s="63" t="str">
        <x:v>Record required pages/timing before broader commercial scaling and i18n.</x:v>
      </x:c>
      <x:c r="G46" s="63" t="str">
        <x:v>Owner</x:v>
      </x:c>
      <x:c r="H46" s="63" t="str">
        <x:v>Backlog</x:v>
      </x:c>
      <x:c r="I46" s="63" t="str">
        <x:v>M2-001</x:v>
      </x:c>
      <x:c r="J46" s="63" t="str">
        <x:v>main</x:v>
      </x:c>
      <x:c r="K46" s="63" t="str">
        <x:v>docs/legal-commercial-decision</x:v>
      </x:c>
      <x:c r="L46" s="63" t="str">
        <x:v>Docs</x:v>
      </x:c>
      <x:c r="M46" s="63" t="str">
        <x:v>Yes</x:v>
      </x:c>
      <x:c r="N46" s="63" t="str">
        <x:v>No</x:v>
      </x:c>
      <x:c r="O46" s="63" t="str">
        <x:v>Decision names required pages, owner, timing, review.</x:v>
      </x:c>
      <x:c r="P46" s="63" t="str"/>
      <x:c r="Q46" s="63" t="str">
        <x:v>2</x:v>
      </x:c>
      <x:c r="R46" s="63" t="str">
        <x:v>Owner-level decision.</x:v>
      </x:c>
    </x:row>
  </x:sheetData>
  <x:conditionalFormatting sqref="H2:H46">
    <x:cfRule type="expression" dxfId="0" priority="1">
      <x:formula>H2="Done"</x:formula>
    </x:cfRule>
    <x:cfRule type="expression" dxfId="1" priority="2">
      <x:formula>H2="In Progress"</x:formula>
    </x:cfRule>
    <x:cfRule type="expression" dxfId="2" priority="3">
      <x:formula>H2="Ready"</x:formula>
    </x:cfRule>
    <x:cfRule type="expression" dxfId="3" priority="4">
      <x:formula>H2="Blocked"</x:formula>
    </x:cfRule>
    <x:cfRule type="expression" dxfId="4" priority="5">
      <x:formula>H2="Review"</x:formula>
    </x:cfRule>
    <x:cfRule type="expression" dxfId="5" priority="6">
      <x:formula>H2="Deferred"</x:formula>
    </x:cfRule>
  </x:conditionalFormatting>
  <x:conditionalFormatting sqref="D2:D46">
    <x:cfRule type="expression" dxfId="6" priority="7">
      <x:formula>D2="P0"</x:formula>
    </x:cfRule>
    <x:cfRule type="expression" dxfId="7" priority="8">
      <x:formula>D2="P1"</x:formula>
    </x:cfRule>
  </x:conditionalFormatting>
  <x:dataValidations count="3">
    <x:dataValidation type="list" sqref="D2:D46">
      <x:formula1>"P0,P1,P2,P3"</x:formula1>
    </x:dataValidation>
    <x:dataValidation type="list" sqref="H2:H46">
      <x:formula1>"Backlog,Ready,In Progress,Blocked,Review,Done,Deferred"</x:formula1>
    </x:dataValidation>
    <x:dataValidation type="list" sqref="M2:N4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fc770852d8459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2" hidden="0" customWidth="1"/>
    <x:col min="3" max="3" width="24" hidden="0" customWidth="1"/>
    <x:col min="4" max="4" width="24" hidden="0" customWidth="1"/>
    <x:col min="5" max="5" width="22" hidden="0" customWidth="1"/>
    <x:col min="6" max="6" width="25" hidden="0" customWidth="1"/>
    <x:col min="7" max="7" width="48" hidden="0" customWidth="1"/>
  </x:cols>
  <x:sheetData>
    <x:row r="1">
      <x:c r="A1" s="41" t="str">
        <x:v>Workspace / Branch</x:v>
      </x:c>
      <x:c r="B1" s="42" t="str">
        <x:v>Purpose</x:v>
      </x:c>
      <x:c r="C1" s="42" t="str">
        <x:v>Base</x:v>
      </x:c>
      <x:c r="D1" s="42" t="str">
        <x:v>Deploy target</x:v>
      </x:c>
      <x:c r="E1" s="42" t="str">
        <x:v>Database</x:v>
      </x:c>
      <x:c r="F1" s="42" t="str">
        <x:v>Writes allowed</x:v>
      </x:c>
      <x:c r="G1" s="43" t="str">
        <x:v>Rules</x:v>
      </x:c>
    </x:row>
    <x:row r="2" ht="44" customHeight="1">
      <x:c r="A2" s="62" t="str">
        <x:v>main</x:v>
      </x:c>
      <x:c r="B2" s="62" t="str">
        <x:v>Production baseline and short MVP1 releases</x:v>
      </x:c>
      <x:c r="C2" s="62" t="str">
        <x:v>origin/main</x:v>
      </x:c>
      <x:c r="D2" s="62" t="str">
        <x:v>ufopredictor.com</x:v>
      </x:c>
      <x:c r="E2" s="62" t="str">
        <x:v>Production Supabase</x:v>
      </x:c>
      <x:c r="F2" s="62" t="str">
        <x:v>Production via reviewed PR/deploy</x:v>
      </x:c>
      <x:c r="G2" s="62" t="str">
        <x:v>No v2 migration dependency; keep MVP1 sellable.</x:v>
      </x:c>
    </x:row>
    <x:row r="3" ht="44" customHeight="1">
      <x:c r="A3" s="62" t="str">
        <x:v>integration/prediction-intelligence-v2</x:v>
      </x:c>
      <x:c r="B3" s="62" t="str">
        <x:v>Normalized v2 integration</x:v>
      </x:c>
      <x:c r="C3" s="62" t="str">
        <x:v>current origin/main</x:v>
      </x:c>
      <x:c r="D3" s="62" t="str">
        <x:v>stage.ufopredictor.com</x:v>
      </x:c>
      <x:c r="E3" s="62" t="str">
        <x:v>Stage Supabase</x:v>
      </x:c>
      <x:c r="F3" s="62" t="str">
        <x:v>Stage only after audit/approval</x:v>
      </x:c>
      <x:c r="G3" s="62" t="str">
        <x:v>Selective port of nine commits; replacement Draft PR.</x:v>
      </x:c>
    </x:row>
    <x:row r="4" ht="44" customHeight="1">
      <x:c r="A4" s="62" t="str">
        <x:v>feature/prediction-intelligence-v2-data-foundation</x:v>
      </x:c>
      <x:c r="B4" s="62" t="str">
        <x:v>Historical v2 preservation branch</x:v>
      </x:c>
      <x:c r="C4" s="62" t="str">
        <x:v>merge base 1dca9bf</x:v>
      </x:c>
      <x:c r="D4" s="62" t="str">
        <x:v>None</x:v>
      </x:c>
      <x:c r="E4" s="62" t="str">
        <x:v>None</x:v>
      </x:c>
      <x:c r="F4" s="62" t="str">
        <x:v>No new implementation</x:v>
      </x:c>
      <x:c r="G4" s="62" t="str">
        <x:v>Keep PR #106 Draft until supersession proof.</x:v>
      </x:c>
    </x:row>
    <x:row r="5" ht="44" customHeight="1">
      <x:c r="A5" s="62" t="str">
        <x:v>docs/adopt-2026-06-23-project-source-refresh</x:v>
      </x:c>
      <x:c r="B5" s="62" t="str">
        <x:v>Canonical documentation refresh</x:v>
      </x:c>
      <x:c r="C5" s="62" t="str">
        <x:v>origin/main e019160</x:v>
      </x:c>
      <x:c r="D5" s="62" t="str">
        <x:v>None</x:v>
      </x:c>
      <x:c r="E5" s="62" t="str">
        <x:v>None</x:v>
      </x:c>
      <x:c r="F5" s="62" t="str">
        <x:v>Docs only</x:v>
      </x:c>
      <x:c r="G5" s="62" t="str">
        <x:v>No app code, migrations, environments, or secrets.</x:v>
      </x:c>
    </x:row>
    <x:row r="6" ht="44" customHeight="1">
      <x:c r="A6" s="62" t="str">
        <x:v>D:\Projects\ufo-predictor</x:v>
      </x:c>
      <x:c r="B6" s="62" t="str">
        <x:v>Main worktree</x:v>
      </x:c>
      <x:c r="C6" s="62" t="str">
        <x:v>main</x:v>
      </x:c>
      <x:c r="D6" s="62" t="str">
        <x:v>Production</x:v>
      </x:c>
      <x:c r="E6" s="62" t="str">
        <x:v>Production env file</x:v>
      </x:c>
      <x:c r="F6" s="62" t="str">
        <x:v>According to task</x:v>
      </x:c>
      <x:c r="G6" s="62" t="str">
        <x:v>Keep clean for production operations.</x:v>
      </x:c>
    </x:row>
    <x:row r="7" ht="44" customHeight="1">
      <x:c r="A7" s="62" t="str">
        <x:v>D:\Projects\ufo-predictor-v2</x:v>
      </x:c>
      <x:c r="B7" s="62" t="str">
        <x:v>V2 worktree</x:v>
      </x:c>
      <x:c r="C7" s="62" t="str">
        <x:v>integration branch</x:v>
      </x:c>
      <x:c r="D7" s="62" t="str">
        <x:v>Stage</x:v>
      </x:c>
      <x:c r="E7" s="62" t="str">
        <x:v>Stage env file</x:v>
      </x:c>
      <x:c r="F7" s="62" t="str">
        <x:v>Stage only</x:v>
      </x:c>
      <x:c r="G7" s="62" t="str">
        <x:v>Independent ignored .env.local.</x:v>
      </x:c>
    </x:row>
    <x:row r="8" ht="44" customHeight="1">
      <x:c r="A8" s="63" t="str">
        <x:v>D:\Projects\ufo-predictor-ui</x:v>
      </x:c>
      <x:c r="B8" s="63" t="str">
        <x:v>UI/UX worktree</x:v>
      </x:c>
      <x:c r="C8" s="63" t="str">
        <x:v>current main</x:v>
      </x:c>
      <x:c r="D8" s="63" t="str">
        <x:v>Production after PR</x:v>
      </x:c>
      <x:c r="E8" s="63" t="str">
        <x:v>Production-compatible</x:v>
      </x:c>
      <x:c r="F8" s="63" t="str">
        <x:v>UI only</x:v>
      </x:c>
      <x:c r="G8" s="63" t="str">
        <x:v>No v2 analytical-table dependency.</x:v>
      </x:c>
    </x:row>
  </x:sheetData>
  <x:pageMargins left="0.7" right="0.7" top="0.75" bottom="0.75" header="0.3" footer="0.3"/>
  <x:tableParts count="1">
    <x:tablePart xmlns:r="http://schemas.openxmlformats.org/officeDocument/2006/relationships" r:id="Rfe7c2c43aada4db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3" hidden="0" customWidth="1"/>
    <x:col min="3" max="3" width="43" hidden="0" customWidth="1"/>
    <x:col min="4" max="4" width="23" hidden="0" customWidth="1"/>
    <x:col min="5" max="5" width="29" hidden="0" customWidth="1"/>
    <x:col min="6" max="6" width="19" hidden="0" customWidth="1"/>
    <x:col min="7" max="7" width="43" hidden="0" customWidth="1"/>
  </x:cols>
  <x:sheetData>
    <x:row r="1">
      <x:c r="A1" s="41" t="str">
        <x:v>Process</x:v>
      </x:c>
      <x:c r="B1" s="42" t="str">
        <x:v>Current MVP1</x:v>
      </x:c>
      <x:c r="C1" s="42" t="str">
        <x:v>MVP2 increment</x:v>
      </x:c>
      <x:c r="D1" s="42" t="str">
        <x:v>Target cadence</x:v>
      </x:c>
      <x:c r="E1" s="42" t="str">
        <x:v>Human gate</x:v>
      </x:c>
      <x:c r="F1" s="42" t="str">
        <x:v>Environment</x:v>
      </x:c>
      <x:c r="G1" s="43" t="str">
        <x:v>Acceptance evidence</x:v>
      </x:c>
    </x:row>
    <x:row r="2" ht="48" customHeight="1">
      <x:c r="A2" s="62" t="str">
        <x:v>Fixture ID discovery</x:v>
      </x:c>
      <x:c r="B2" s="62" t="str">
        <x:v>Manual date/match queries</x:v>
      </x:c>
      <x:c r="C2" s="62" t="str">
        <x:v>Batch discovery manifest for remaining group stage</x:v>
      </x:c>
      <x:c r="D2" s="62" t="str">
        <x:v>Ahead of publication windows</x:v>
      </x:c>
      <x:c r="E2" s="62" t="str">
        <x:v>Review unresolved aliases/links</x:v>
      </x:c>
      <x:c r="F2" s="62" t="str">
        <x:v>Production-safe read</x:v>
      </x:c>
      <x:c r="G2" s="62" t="str">
        <x:v>Complete fixture ID/teams/kickoff/group/provider manifest</x:v>
      </x:c>
    </x:row>
    <x:row r="3" ht="48" customHeight="1">
      <x:c r="A3" s="62" t="str">
        <x:v>Fixture persistence</x:v>
      </x:c>
      <x:c r="B3" s="62" t="str">
        <x:v>Exact guarded commands</x:v>
      </x:c>
      <x:c r="C3" s="62" t="str">
        <x:v>Manifest-driven idempotent apply</x:v>
      </x:c>
      <x:c r="D3" s="62" t="str">
        <x:v>As schedule expands</x:v>
      </x:c>
      <x:c r="E3" s="62" t="str">
        <x:v>Approve production apply</x:v>
      </x:c>
      <x:c r="F3" s="62" t="str">
        <x:v>Production</x:v>
      </x:c>
      <x:c r="G3" s="62" t="str">
        <x:v>Dry-run/apply parity and zero-duplicate rerun</x:v>
      </x:c>
    </x:row>
    <x:row r="4" ht="48" customHeight="1">
      <x:c r="A4" s="62" t="str">
        <x:v>Status refresh</x:v>
      </x:c>
      <x:c r="B4" s="62" t="str">
        <x:v>Manual exact read/apply</x:v>
      </x:c>
      <x:c r="C4" s="62" t="str">
        <x:v>Relevant-fixture bounded refresh command</x:v>
      </x:c>
      <x:c r="D4" s="62" t="str">
        <x:v>1-2 times daily</x:v>
      </x:c>
      <x:c r="E4" s="62" t="str">
        <x:v>No extra approval when guarded</x:v>
      </x:c>
      <x:c r="F4" s="62" t="str">
        <x:v>Production</x:v>
      </x:c>
      <x:c r="G4" s="62" t="str">
        <x:v>Run log, counts, retries, no broad writes</x:v>
      </x:c>
    </x:row>
    <x:row r="5" ht="48" customHeight="1">
      <x:c r="A5" s="62" t="str">
        <x:v>Terminal score ingest</x:v>
      </x:c>
      <x:c r="B5" s="62" t="str">
        <x:v>Manual finished-fixture apply</x:v>
      </x:c>
      <x:c r="C5" s="62" t="str">
        <x:v>Poll stored fixtures and create pending_review rows</x:v>
      </x:c>
      <x:c r="D5" s="62" t="str">
        <x:v>1-2 times daily / after match windows</x:v>
      </x:c>
      <x:c r="E5" s="62" t="str">
        <x:v>Verification remains human</x:v>
      </x:c>
      <x:c r="F5" s="62" t="str">
        <x:v>Production</x:v>
      </x:c>
      <x:c r="G5" s="62" t="str">
        <x:v>No unverified public final score</x:v>
      </x:c>
    </x:row>
    <x:row r="6" ht="48" customHeight="1">
      <x:c r="A6" s="62" t="str">
        <x:v>Result verification</x:v>
      </x:c>
      <x:c r="B6" s="62" t="str">
        <x:v>Manual admin queue</x:v>
      </x:c>
      <x:c r="C6" s="62" t="str">
        <x:v>Keep human verification in initial MVP2</x:v>
      </x:c>
      <x:c r="D6" s="62" t="str">
        <x:v>1-2 times daily</x:v>
      </x:c>
      <x:c r="E6" s="62" t="str">
        <x:v>Mandatory</x:v>
      </x:c>
      <x:c r="F6" s="62" t="str">
        <x:v>Production</x:v>
      </x:c>
      <x:c r="G6" s="62" t="str">
        <x:v>Verified rows and audit trail</x:v>
      </x:c>
    </x:row>
    <x:row r="7" ht="48" customHeight="1">
      <x:c r="A7" s="62" t="str">
        <x:v>Evaluation persistence</x:v>
      </x:c>
      <x:c r="B7" s="62" t="str">
        <x:v>One-by-one admin action</x:v>
      </x:c>
      <x:c r="C7" s="62" t="str">
        <x:v>Bounded selected batch persistence</x:v>
      </x:c>
      <x:c r="D7" s="62" t="str">
        <x:v>After verification batch</x:v>
      </x:c>
      <x:c r="E7" s="62" t="str">
        <x:v>Operator selects rows</x:v>
      </x:c>
      <x:c r="F7" s="62" t="str">
        <x:v>Production</x:v>
      </x:c>
      <x:c r="G7" s="62" t="str">
        <x:v>Idempotent evaluations and queue counts</x:v>
      </x:c>
    </x:row>
    <x:row r="8" ht="48" customHeight="1">
      <x:c r="A8" s="62" t="str">
        <x:v>Signal refresh</x:v>
      </x:c>
      <x:c r="B8" s="62" t="str">
        <x:v>Manual task artifacts</x:v>
      </x:c>
      <x:c r="C8" s="62" t="str">
        <x:v>Recurring pre-match signal snapshot process</x:v>
      </x:c>
      <x:c r="D8" s="62" t="str">
        <x:v>After v2 stage stabilization</x:v>
      </x:c>
      <x:c r="E8" s="62" t="str">
        <x:v>Approve fixture/cutoff scope</x:v>
      </x:c>
      <x:c r="F8" s="62" t="str">
        <x:v>Stage first</x:v>
      </x:c>
      <x:c r="G8" s="62" t="str">
        <x:v>Provenance, reliability, cutoff, no started fixtures</x:v>
      </x:c>
    </x:row>
    <x:row r="9" ht="48" customHeight="1">
      <x:c r="A9" s="62" t="str">
        <x:v>Prediction publication</x:v>
      </x:c>
      <x:c r="B9" s="62" t="str">
        <x:v>Operator review/publication</x:v>
      </x:c>
      <x:c r="C9" s="62" t="str">
        <x:v>Immutable versioned not-started publication</x:v>
      </x:c>
      <x:c r="D9" s="62" t="str">
        <x:v>Per fixture batch</x:v>
      </x:c>
      <x:c r="E9" s="62" t="str">
        <x:v>Human review before public</x:v>
      </x:c>
      <x:c r="F9" s="62" t="str">
        <x:v>Stage then Production</x:v>
      </x:c>
      <x:c r="G9" s="62" t="str">
        <x:v>Version lineage and cutoff proof</x:v>
      </x:c>
    </x:row>
    <x:row r="10" ht="48" customHeight="1">
      <x:c r="A10" s="63" t="str">
        <x:v>Notifications</x:v>
      </x:c>
      <x:c r="B10" s="63" t="str">
        <x:v>Manual page checks</x:v>
      </x:c>
      <x:c r="C10" s="63" t="str">
        <x:v>Admin summary for pending review/evaluation and failures</x:v>
      </x:c>
      <x:c r="D10" s="63" t="str">
        <x:v>Each scheduled run</x:v>
      </x:c>
      <x:c r="E10" s="63" t="str">
        <x:v>Operator triage</x:v>
      </x:c>
      <x:c r="F10" s="63" t="str">
        <x:v>Production</x:v>
      </x:c>
      <x:c r="G10" s="63" t="str">
        <x:v>Actionable run ID/count/error summary</x:v>
      </x:c>
    </x:row>
  </x:sheetData>
  <x:pageMargins left="0.7" right="0.7" top="0.75" bottom="0.75" header="0.3" footer="0.3"/>
  <x:tableParts count="1">
    <x:tablePart xmlns:r="http://schemas.openxmlformats.org/officeDocument/2006/relationships" r:id="Rcf9d84065855440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22" hidden="0" customWidth="1"/>
    <x:col min="4" max="4" width="58" hidden="0" customWidth="1"/>
    <x:col min="5" max="5" width="21" hidden="0" customWidth="1"/>
    <x:col min="6" max="6" width="25" hidden="0" customWidth="1"/>
    <x:col min="7" max="7" width="42" hidden="0" customWidth="1"/>
  </x:cols>
  <x:sheetData>
    <x:row r="1">
      <x:c r="A1" s="41" t="str">
        <x:v>Decision ID</x:v>
      </x:c>
      <x:c r="B1" s="42" t="str">
        <x:v>Topic</x:v>
      </x:c>
      <x:c r="C1" s="42" t="str">
        <x:v>Status</x:v>
      </x:c>
      <x:c r="D1" s="42" t="str">
        <x:v>Decision / question</x:v>
      </x:c>
      <x:c r="E1" s="42" t="str">
        <x:v>Owner</x:v>
      </x:c>
      <x:c r="F1" s="42" t="str">
        <x:v>Due gate</x:v>
      </x:c>
      <x:c r="G1" s="43" t="str">
        <x:v>Notes</x:v>
      </x:c>
    </x:row>
    <x:row r="2" ht="46" customHeight="1">
      <x:c r="A2" s="62" t="str">
        <x:v>D-001</x:v>
      </x:c>
      <x:c r="B2" s="62" t="str">
        <x:v>V2 branch base</x:v>
      </x:c>
      <x:c r="C2" s="62" t="str">
        <x:v>Decided</x:v>
      </x:c>
      <x:c r="D2" s="62" t="str">
        <x:v>Create integration/prediction-intelligence-v2 from current main; preserve old branch/PR #106.</x:v>
      </x:c>
      <x:c r="E2" s="62" t="str">
        <x:v>Owner + Model/Data</x:v>
      </x:c>
      <x:c r="F2" s="62" t="str">
        <x:v>Before Task 3B</x:v>
      </x:c>
      <x:c r="G2" s="62" t="str">
        <x:v>No blanket merge/cherry-pick.</x:v>
      </x:c>
    </x:row>
    <x:row r="3" ht="46" customHeight="1">
      <x:c r="A3" s="62" t="str">
        <x:v>D-002</x:v>
      </x:c>
      <x:c r="B3" s="62" t="str">
        <x:v>V2 probability mode</x:v>
      </x:c>
      <x:c r="C3" s="62" t="str">
        <x:v>Open</x:v>
      </x:c>
      <x:c r="D3" s="62" t="str">
        <x:v>v1 probability + v2 analysis vs gated v2 probability + v2 analysis.</x:v>
      </x:c>
      <x:c r="E3" s="62" t="str">
        <x:v>Owner + Model</x:v>
      </x:c>
      <x:c r="F3" s="62" t="str">
        <x:v>After stage comparison</x:v>
      </x:c>
      <x:c r="G3" s="62" t="str">
        <x:v>Evidence-based release decision.</x:v>
      </x:c>
    </x:row>
    <x:row r="4" ht="46" customHeight="1">
      <x:c r="A4" s="62" t="str">
        <x:v>D-003</x:v>
      </x:c>
      <x:c r="B4" s="62" t="str">
        <x:v>Result verification automation</x:v>
      </x:c>
      <x:c r="C4" s="62" t="str">
        <x:v>Decided for initial MVP2</x:v>
      </x:c>
      <x:c r="D4" s="62" t="str">
        <x:v>Human verification remains mandatory; automation stops at pending_review.</x:v>
      </x:c>
      <x:c r="E4" s="62" t="str">
        <x:v>Owner + Ops</x:v>
      </x:c>
      <x:c r="F4" s="62" t="str">
        <x:v>Before scheduler release</x:v>
      </x:c>
      <x:c r="G4" s="62" t="str">
        <x:v>Revisit only with governance/reconciliation proof.</x:v>
      </x:c>
    </x:row>
    <x:row r="5" ht="46" customHeight="1">
      <x:c r="A5" s="62" t="str">
        <x:v>D-004</x:v>
      </x:c>
      <x:c r="B5" s="62" t="str">
        <x:v>Stage environment</x:v>
      </x:c>
      <x:c r="C5" s="62" t="str">
        <x:v>Decided</x:v>
      </x:c>
      <x:c r="D5" s="62" t="str">
        <x:v>Use existing stage.ufopredictor.com and separate Supabase stage.</x:v>
      </x:c>
      <x:c r="E5" s="62" t="str">
        <x:v>Owner</x:v>
      </x:c>
      <x:c r="F5" s="62" t="str">
        <x:v>Now</x:v>
      </x:c>
      <x:c r="G5" s="62" t="str">
        <x:v>No second environment; no Docker dependency.</x:v>
      </x:c>
    </x:row>
    <x:row r="6" ht="46" customHeight="1">
      <x:c r="A6" s="62" t="str">
        <x:v>D-005</x:v>
      </x:c>
      <x:c r="B6" s="62" t="str">
        <x:v>Internationalization order</x:v>
      </x:c>
      <x:c r="C6" s="62" t="str">
        <x:v>Decided</x:v>
      </x:c>
      <x:c r="D6" s="62" t="str">
        <x:v>English after v2 stabilization and merge; Portuguese later.</x:v>
      </x:c>
      <x:c r="E6" s="62" t="str">
        <x:v>Owner + Frontend</x:v>
      </x:c>
      <x:c r="F6" s="62" t="str">
        <x:v>After v2 promotion</x:v>
      </x:c>
      <x:c r="G6" s="62" t="str">
        <x:v>Keep canonical entities locale-neutral now.</x:v>
      </x:c>
    </x:row>
    <x:row r="7" ht="46" customHeight="1">
      <x:c r="A7" s="62" t="str">
        <x:v>D-006</x:v>
      </x:c>
      <x:c r="B7" s="62" t="str">
        <x:v>Second payment provider</x:v>
      </x:c>
      <x:c r="C7" s="62" t="str">
        <x:v>Deferred</x:v>
      </x:c>
      <x:c r="D7" s="62" t="str">
        <x:v>Evaluate PayPal Business after core v2 stabilization; Hotmart only as strategic channel.</x:v>
      </x:c>
      <x:c r="E7" s="62" t="str">
        <x:v>Owner</x:v>
      </x:c>
      <x:c r="F7" s="62" t="str">
        <x:v>Post-MVP2 core</x:v>
      </x:c>
      <x:c r="G7" s="62" t="str">
        <x:v>Not a release blocker.</x:v>
      </x:c>
    </x:row>
    <x:row r="8" ht="46" customHeight="1">
      <x:c r="A8" s="62" t="str">
        <x:v>D-007</x:v>
      </x:c>
      <x:c r="B8" s="62" t="str">
        <x:v>Source workspace retention</x:v>
      </x:c>
      <x:c r="C8" s="62" t="str">
        <x:v>Decided</x:v>
      </x:c>
      <x:c r="D8" s="62" t="str">
        <x:v>Keep prepared-v2 external workspace until stage import/checksum/idempotency proof.</x:v>
      </x:c>
      <x:c r="E8" s="62" t="str">
        <x:v>Owner + Data</x:v>
      </x:c>
      <x:c r="F8" s="62" t="str">
        <x:v>Task 3B exit</x:v>
      </x:c>
      <x:c r="G8" s="62" t="str">
        <x:v>Do not commit raw local source material.</x:v>
      </x:c>
    </x:row>
    <x:row r="9" ht="46" customHeight="1">
      <x:c r="A9" s="62" t="str">
        <x:v>D-008</x:v>
      </x:c>
      <x:c r="B9" s="62" t="str">
        <x:v>Legal pages</x:v>
      </x:c>
      <x:c r="C9" s="62" t="str">
        <x:v>Open</x:v>
      </x:c>
      <x:c r="D9" s="62" t="str">
        <x:v>Define required terms/privacy/legal publication timing for broader scaling.</x:v>
      </x:c>
      <x:c r="E9" s="62" t="str">
        <x:v>Owner</x:v>
      </x:c>
      <x:c r="F9" s="62" t="str">
        <x:v>Before broader marketing/i18n</x:v>
      </x:c>
      <x:c r="G9" s="62" t="str">
        <x:v>Owner-level decision.</x:v>
      </x:c>
    </x:row>
    <x:row r="10" ht="46" customHeight="1">
      <x:c r="A10" s="63" t="str">
        <x:v>D-009</x:v>
      </x:c>
      <x:c r="B10" s="63" t="str">
        <x:v>V3 contextual signals</x:v>
      </x:c>
      <x:c r="C10" s="63" t="str">
        <x:v>Deferred</x:v>
      </x:c>
      <x:c r="D10" s="63" t="str">
        <x:v>Research lineups, absences, qualification pressure, rest/travel, and timestamped news.</x:v>
      </x:c>
      <x:c r="E10" s="63" t="str">
        <x:v>Model/Data</x:v>
      </x:c>
      <x:c r="F10" s="63" t="str">
        <x:v>After v2 stable</x:v>
      </x:c>
      <x:c r="G10" s="63" t="str">
        <x:v>No post-kickoff leakage.</x:v>
      </x:c>
    </x:row>
  </x:sheetData>
  <x:pageMargins left="0.7" right="0.7" top="0.75" bottom="0.75" header="0.3" footer="0.3"/>
  <x:tableParts count="1">
    <x:tablePart xmlns:r="http://schemas.openxmlformats.org/officeDocument/2006/relationships" r:id="R3bdcfe727cab4bb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26" hidden="0" customWidth="1"/>
    <x:col min="3" max="3" width="17" hidden="0" customWidth="1"/>
    <x:col min="4" max="4" width="49" hidden="0" customWidth="1"/>
    <x:col min="5" max="5" width="50" hidden="0" customWidth="1"/>
    <x:col min="6" max="6" width="29" hidden="0" customWidth="1"/>
  </x:cols>
  <x:sheetData>
    <x:row r="1">
      <x:c r="A1" s="41" t="str">
        <x:v>Asset / Path</x:v>
      </x:c>
      <x:c r="B1" s="42" t="str">
        <x:v>Type</x:v>
      </x:c>
      <x:c r="C1" s="42" t="str">
        <x:v>Tracked in Git?</x:v>
      </x:c>
      <x:c r="D1" s="42" t="str">
        <x:v>Current role</x:v>
      </x:c>
      <x:c r="E1" s="42" t="str">
        <x:v>Retention / exit rule</x:v>
      </x:c>
      <x:c r="F1" s="43" t="str">
        <x:v>Verification status</x:v>
      </x:c>
    </x:row>
    <x:row r="2" ht="52" customHeight="1">
      <x:c r="A2" s="62" t="str">
        <x:v>D:\Projects\ufo-predictor-source-snapshots\2026-06-20\prepared-v2</x:v>
      </x:c>
      <x:c r="B2" s="62" t="str">
        <x:v>External prepared workspace</x:v>
      </x:c>
      <x:c r="C2" s="62" t="str">
        <x:v>No</x:v>
      </x:c>
      <x:c r="D2" s="62" t="str">
        <x:v>Raw/prepared contracts, normalized snapshots, parsing, reference, reports, source registry</x:v>
      </x:c>
      <x:c r="E2" s="62" t="str">
        <x:v>Keep until stage import, checksum/lineage, and idempotency pass</x:v>
      </x:c>
      <x:c r="F2" s="62" t="str">
        <x:v>Operator confirms path exists</x:v>
      </x:c>
    </x:row>
    <x:row r="3" ht="52" customHeight="1">
      <x:c r="A3" s="62" t="str">
        <x:v>data/prediction-engine/national-team-signals/2026-06-19/</x:v>
      </x:c>
      <x:c r="B3" s="62" t="str">
        <x:v>Committed prepared signals</x:v>
      </x:c>
      <x:c r="C3" s="62" t="str">
        <x:v>Yes</x:v>
      </x:c>
      <x:c r="D3" s="62" t="str">
        <x:v>Deterministic source, manifest, quality, coherence, localization outputs</x:v>
      </x:c>
      <x:c r="E3" s="62" t="str">
        <x:v>Long-lived versioned source package</x:v>
      </x:c>
      <x:c r="F3" s="62" t="str">
        <x:v>Present on old v2 branch</x:v>
      </x:c>
    </x:row>
    <x:row r="4" ht="52" customHeight="1">
      <x:c r="A4" s="62" t="str">
        <x:v>artifacts/prediction-intelligence-v2/task1...task3a/</x:v>
      </x:c>
      <x:c r="B4" s="62" t="str">
        <x:v>Committed/generated artifacts</x:v>
      </x:c>
      <x:c r="C4" s="62" t="str">
        <x:v>Yes</x:v>
      </x:c>
      <x:c r="D4" s="62" t="str">
        <x:v>Coverage, replay, calibration, candidate, and planner evidence</x:v>
      </x:c>
      <x:c r="E4" s="62" t="str">
        <x:v>Retain as audit evidence</x:v>
      </x:c>
      <x:c r="F4" s="62" t="str">
        <x:v>Present on old v2 branch</x:v>
      </x:c>
    </x:row>
    <x:row r="5" ht="52" customHeight="1">
      <x:c r="A5" s="62" t="str">
        <x:v>lib/prediction-intelligence-v2/</x:v>
      </x:c>
      <x:c r="B5" s="62" t="str">
        <x:v>Source code</x:v>
      </x:c>
      <x:c r="C5" s="62" t="str">
        <x:v>Yes</x:v>
      </x:c>
      <x:c r="D5" s="62" t="str">
        <x:v>Task libraries for data, replay, model, and planning</x:v>
      </x:c>
      <x:c r="E5" s="62" t="str">
        <x:v>Selectively port to integration branch</x:v>
      </x:c>
      <x:c r="F5" s="62" t="str">
        <x:v>Present on old v2 branch</x:v>
      </x:c>
    </x:row>
    <x:row r="6" ht="52" customHeight="1">
      <x:c r="A6" s="62" t="str">
        <x:v>scripts/prediction-intelligence-v2/</x:v>
      </x:c>
      <x:c r="B6" s="62" t="str">
        <x:v>Runnable wrappers</x:v>
      </x:c>
      <x:c r="C6" s="62" t="str">
        <x:v>Yes</x:v>
      </x:c>
      <x:c r="D6" s="62" t="str">
        <x:v>Task 1 through Task 3A entry points</x:v>
      </x:c>
      <x:c r="E6" s="62" t="str">
        <x:v>Selectively port and reconcile paths</x:v>
      </x:c>
      <x:c r="F6" s="62" t="str">
        <x:v>Present on old v2 branch</x:v>
      </x:c>
    </x:row>
    <x:row r="7" ht="52" customHeight="1">
      <x:c r="A7" s="62" t="str">
        <x:v>supabase/migrations/0038_prediction_intelligence_v2_data_foundation.sql</x:v>
      </x:c>
      <x:c r="B7" s="62" t="str">
        <x:v>Migration</x:v>
      </x:c>
      <x:c r="C7" s="62" t="str">
        <x:v>Yes</x:v>
      </x:c>
      <x:c r="D7" s="62" t="str">
        <x:v>Stage analytical schema/data foundation</x:v>
      </x:c>
      <x:c r="E7" s="62" t="str">
        <x:v>Apply stage only after audit/approval</x:v>
      </x:c>
      <x:c r="F7" s="62" t="str">
        <x:v>Present on old v2 branch</x:v>
      </x:c>
    </x:row>
    <x:row r="8" ht="52" customHeight="1">
      <x:c r="A8" s="63" t="str">
        <x:v>types/database.ts</x:v>
      </x:c>
      <x:c r="B8" s="63" t="str">
        <x:v>Types</x:v>
      </x:c>
      <x:c r="C8" s="63" t="str">
        <x:v>Yes</x:v>
      </x:c>
      <x:c r="D8" s="63" t="str">
        <x:v>Analytical table typings</x:v>
      </x:c>
      <x:c r="E8" s="63" t="str">
        <x:v>Port with migration and validate current main</x:v>
      </x:c>
      <x:c r="F8" s="63" t="str">
        <x:v>Present on old v2 branch</x:v>
      </x:c>
    </x:row>
  </x:sheetData>
  <x:pageMargins left="0.7" right="0.7" top="0.75" bottom="0.75" header="0.3" footer="0.3"/>
  <x:tableParts count="1">
    <x:tablePart xmlns:r="http://schemas.openxmlformats.org/officeDocument/2006/relationships" r:id="Re856141c3f6e4fd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22" hidden="0" customWidth="1"/>
    <x:col min="4" max="4" width="10" hidden="0" customWidth="1"/>
    <x:col min="5" max="5" width="30" hidden="0" customWidth="1"/>
    <x:col min="6" max="6" width="42" hidden="0" customWidth="1"/>
    <x:col min="7" max="7" width="18" hidden="0" customWidth="1"/>
    <x:col min="8" max="8" width="14" hidden="0" customWidth="1"/>
    <x:col min="9" max="9" width="20" hidden="0" customWidth="1"/>
    <x:col min="10" max="10" width="30" hidden="0" customWidth="1"/>
    <x:col min="11" max="11" width="16" hidden="0" customWidth="1"/>
    <x:col min="12" max="12" width="12" hidden="0" customWidth="1"/>
    <x:col min="13" max="13" width="14" hidden="0" customWidth="1"/>
    <x:col min="14" max="14" width="14" hidden="0" customWidth="1"/>
    <x:col min="15" max="15" width="36" hidden="0" customWidth="1"/>
    <x:col min="16" max="16" width="12" hidden="0" customWidth="1"/>
  </x:cols>
  <x:sheetData>
    <x:row r="1">
      <x:c r="A1" s="41" t="str">
        <x:v>ID</x:v>
      </x:c>
      <x:c r="B1" s="42" t="str">
        <x:v>Epic ID</x:v>
      </x:c>
      <x:c r="C1" s="42" t="str">
        <x:v>Épica</x:v>
      </x:c>
      <x:c r="D1" s="42" t="str">
        <x:v>Prioridad</x:v>
      </x:c>
      <x:c r="E1" s="42" t="str">
        <x:v>Tarea</x:v>
      </x:c>
      <x:c r="F1" s="42" t="str">
        <x:v>Descripción</x:v>
      </x:c>
      <x:c r="G1" s="42" t="str">
        <x:v>Owner</x:v>
      </x:c>
      <x:c r="H1" s="42" t="str">
        <x:v>Estado</x:v>
      </x:c>
      <x:c r="I1" s="42" t="str">
        <x:v>Dependencias</x:v>
      </x:c>
      <x:c r="J1" s="42" t="str">
        <x:v>Rama sugerida</x:v>
      </x:c>
      <x:c r="K1" s="42" t="str">
        <x:v>Área</x:v>
      </x:c>
      <x:c r="L1" s="42" t="str">
        <x:v>Estimación</x:v>
      </x:c>
      <x:c r="M1" s="42" t="str">
        <x:v>Inicio</x:v>
      </x:c>
      <x:c r="N1" s="42" t="str">
        <x:v>Límite</x:v>
      </x:c>
      <x:c r="O1" s="42" t="str">
        <x:v>Notas</x:v>
      </x:c>
      <x:c r="P1" s="43" t="str">
        <x:v>Progreso</x:v>
      </x:c>
    </x:row>
    <x:row r="2">
      <x:c r="A2" s="62" t="str">
        <x:v>T-001</x:v>
      </x:c>
      <x:c r="B2" s="62" t="str">
        <x:v>E01</x:v>
      </x:c>
      <x:c r="C2" s="62" t="str">
        <x:v>Supabase schema</x:v>
      </x:c>
      <x:c r="D2" s="62" t="str">
        <x:v>P0</x:v>
      </x:c>
      <x:c r="E2" s="62" t="str">
        <x:v>Crear proyecto Supabase dev/staging</x:v>
      </x:c>
      <x:c r="F2" s="62" t="str">
        <x:v>Configurar proyecto, variables y acceso del equipo sin subir secretos.</x:v>
      </x:c>
      <x:c r="G2" s="62" t="str">
        <x:v>Sin asignar</x:v>
      </x:c>
      <x:c r="H2" s="62" t="str">
        <x:v>Backlog</x:v>
      </x:c>
      <x:c r="I2" s="62" t="str"/>
      <x:c r="J2" s="62" t="str">
        <x:v>feature/supabase-schema</x:v>
      </x:c>
      <x:c r="K2" s="62" t="str">
        <x:v>DB</x:v>
      </x:c>
      <x:c r="L2" s="62" t="str">
        <x:v>2</x:v>
      </x:c>
      <x:c r="M2" s="62" t="str"/>
      <x:c r="N2" s="62" t="str"/>
      <x:c r="O2" s="62" t="str"/>
      <x:c r="P2" s="62" t="str">
        <x:v>0%</x:v>
      </x:c>
    </x:row>
    <x:row r="3">
      <x:c r="A3" s="62" t="str">
        <x:v>T-002</x:v>
      </x:c>
      <x:c r="B3" s="62" t="str">
        <x:v>E01</x:v>
      </x:c>
      <x:c r="C3" s="62" t="str">
        <x:v>Supabase schema</x:v>
      </x:c>
      <x:c r="D3" s="62" t="str">
        <x:v>P0</x:v>
      </x:c>
      <x:c r="E3" s="62" t="str">
        <x:v>Crear migraciones base</x:v>
      </x:c>
      <x:c r="F3" s="62" t="str">
        <x:v>Tablas para usuarios, planes, fútbol, predicciones, workers y emails.</x:v>
      </x:c>
      <x:c r="G3" s="62" t="str">
        <x:v>Sin asignar</x:v>
      </x:c>
      <x:c r="H3" s="62" t="str">
        <x:v>Backlog</x:v>
      </x:c>
      <x:c r="I3" s="62" t="str"/>
      <x:c r="J3" s="62" t="str">
        <x:v>feature/supabase-schema</x:v>
      </x:c>
      <x:c r="K3" s="62" t="str">
        <x:v>DB</x:v>
      </x:c>
      <x:c r="L3" s="62" t="str">
        <x:v>5</x:v>
      </x:c>
      <x:c r="M3" s="62" t="str"/>
      <x:c r="N3" s="62" t="str"/>
      <x:c r="O3" s="62" t="str"/>
      <x:c r="P3" s="62" t="str">
        <x:v>0%</x:v>
      </x:c>
    </x:row>
    <x:row r="4">
      <x:c r="A4" s="62" t="str">
        <x:v>T-003</x:v>
      </x:c>
      <x:c r="B4" s="62" t="str">
        <x:v>E01</x:v>
      </x:c>
      <x:c r="C4" s="62" t="str">
        <x:v>Supabase schema</x:v>
      </x:c>
      <x:c r="D4" s="62" t="str">
        <x:v>P0</x:v>
      </x:c>
      <x:c r="E4" s="62" t="str">
        <x:v>Crear seed mínimo</x:v>
      </x:c>
      <x:c r="F4" s="62" t="str">
        <x:v>Datos iniciales para probar: competiciones, equipos, partidos, planes y model version.</x:v>
      </x:c>
      <x:c r="G4" s="62" t="str">
        <x:v>Sin asignar</x:v>
      </x:c>
      <x:c r="H4" s="62" t="str">
        <x:v>Backlog</x:v>
      </x:c>
      <x:c r="I4" s="62" t="str"/>
      <x:c r="J4" s="62" t="str">
        <x:v>feature/supabase-schema</x:v>
      </x:c>
      <x:c r="K4" s="62" t="str">
        <x:v>DB</x:v>
      </x:c>
      <x:c r="L4" s="62" t="str">
        <x:v>3</x:v>
      </x:c>
      <x:c r="M4" s="62" t="str"/>
      <x:c r="N4" s="62" t="str"/>
      <x:c r="O4" s="62" t="str"/>
      <x:c r="P4" s="62" t="str">
        <x:v>0%</x:v>
      </x:c>
    </x:row>
    <x:row r="5">
      <x:c r="A5" s="62" t="str">
        <x:v>T-004</x:v>
      </x:c>
      <x:c r="B5" s="62" t="str">
        <x:v>E01</x:v>
      </x:c>
      <x:c r="C5" s="62" t="str">
        <x:v>Supabase schema</x:v>
      </x:c>
      <x:c r="D5" s="62" t="str">
        <x:v>P0</x:v>
      </x:c>
      <x:c r="E5" s="62" t="str">
        <x:v>Alinear types/database.ts</x:v>
      </x:c>
      <x:c r="F5" s="62" t="str">
        <x:v>Actualizar tipos internos según el schema real.</x:v>
      </x:c>
      <x:c r="G5" s="62" t="str">
        <x:v>Sin asignar</x:v>
      </x:c>
      <x:c r="H5" s="62" t="str">
        <x:v>Backlog</x:v>
      </x:c>
      <x:c r="I5" s="62" t="str"/>
      <x:c r="J5" s="62" t="str">
        <x:v>feature/supabase-schema</x:v>
      </x:c>
      <x:c r="K5" s="62" t="str">
        <x:v>Backend</x:v>
      </x:c>
      <x:c r="L5" s="62" t="str">
        <x:v>3</x:v>
      </x:c>
      <x:c r="M5" s="62" t="str"/>
      <x:c r="N5" s="62" t="str"/>
      <x:c r="O5" s="62" t="str"/>
      <x:c r="P5" s="62" t="str">
        <x:v>0%</x:v>
      </x:c>
    </x:row>
    <x:row r="6">
      <x:c r="A6" s="62" t="str">
        <x:v>T-005</x:v>
      </x:c>
      <x:c r="B6" s="62" t="str">
        <x:v>E01</x:v>
      </x:c>
      <x:c r="C6" s="62" t="str">
        <x:v>Supabase schema</x:v>
      </x:c>
      <x:c r="D6" s="62" t="str">
        <x:v>P0</x:v>
      </x:c>
      <x:c r="E6" s="62" t="str">
        <x:v>Documentar setup Supabase</x:v>
      </x:c>
      <x:c r="F6" s="62" t="str">
        <x:v>Pasos para correr migraciones y seeds local/staging.</x:v>
      </x:c>
      <x:c r="G6" s="62" t="str">
        <x:v>Sin asignar</x:v>
      </x:c>
      <x:c r="H6" s="62" t="str">
        <x:v>Backlog</x:v>
      </x:c>
      <x:c r="I6" s="62" t="str"/>
      <x:c r="J6" s="62" t="str">
        <x:v>feature/supabase-schema</x:v>
      </x:c>
      <x:c r="K6" s="62" t="str">
        <x:v>Docs</x:v>
      </x:c>
      <x:c r="L6" s="62" t="str">
        <x:v>2</x:v>
      </x:c>
      <x:c r="M6" s="62" t="str"/>
      <x:c r="N6" s="62" t="str"/>
      <x:c r="O6" s="62" t="str"/>
      <x:c r="P6" s="62" t="str">
        <x:v>0%</x:v>
      </x:c>
    </x:row>
    <x:row r="7">
      <x:c r="A7" s="62" t="str">
        <x:v>T-006</x:v>
      </x:c>
      <x:c r="B7" s="62" t="str">
        <x:v>E01</x:v>
      </x:c>
      <x:c r="C7" s="62" t="str">
        <x:v>Supabase schema</x:v>
      </x:c>
      <x:c r="D7" s="62" t="str">
        <x:v>P1</x:v>
      </x:c>
      <x:c r="E7" s="62" t="str">
        <x:v>Definir estrategia RLS inicial</x:v>
      </x:c>
      <x:c r="F7" s="62" t="str">
        <x:v>Borrador de políticas por profiles, subscriptions, entitlements y admin.</x:v>
      </x:c>
      <x:c r="G7" s="62" t="str">
        <x:v>Sin asignar</x:v>
      </x:c>
      <x:c r="H7" s="62" t="str">
        <x:v>Backlog</x:v>
      </x:c>
      <x:c r="I7" s="62" t="str"/>
      <x:c r="J7" s="62" t="str">
        <x:v>feature/supabase-schema</x:v>
      </x:c>
      <x:c r="K7" s="62" t="str">
        <x:v>DB</x:v>
      </x:c>
      <x:c r="L7" s="62" t="str">
        <x:v>3</x:v>
      </x:c>
      <x:c r="M7" s="62" t="str"/>
      <x:c r="N7" s="62" t="str"/>
      <x:c r="O7" s="62" t="str"/>
      <x:c r="P7" s="62" t="str">
        <x:v>0%</x:v>
      </x:c>
    </x:row>
    <x:row r="8">
      <x:c r="A8" s="62" t="str">
        <x:v>T-007</x:v>
      </x:c>
      <x:c r="B8" s="62" t="str">
        <x:v>E02</x:v>
      </x:c>
      <x:c r="C8" s="62" t="str">
        <x:v>Auth y roles</x:v>
      </x:c>
      <x:c r="D8" s="62" t="str">
        <x:v>P0</x:v>
      </x:c>
      <x:c r="E8" s="62" t="str">
        <x:v>Configurar Supabase Auth</x:v>
      </x:c>
      <x:c r="F8" s="62" t="str">
        <x:v>Email/password o proveedor elegido para registro/login.</x:v>
      </x:c>
      <x:c r="G8" s="62" t="str">
        <x:v>Sin asignar</x:v>
      </x:c>
      <x:c r="H8" s="62" t="str">
        <x:v>Backlog</x:v>
      </x:c>
      <x:c r="I8" s="62" t="str">
        <x:v>E01</x:v>
      </x:c>
      <x:c r="J8" s="62" t="str">
        <x:v>feature/auth-roles</x:v>
      </x:c>
      <x:c r="K8" s="62" t="str">
        <x:v>Auth</x:v>
      </x:c>
      <x:c r="L8" s="62" t="str">
        <x:v>3</x:v>
      </x:c>
      <x:c r="M8" s="62" t="str"/>
      <x:c r="N8" s="62" t="str"/>
      <x:c r="O8" s="62" t="str"/>
      <x:c r="P8" s="62" t="str">
        <x:v>0%</x:v>
      </x:c>
    </x:row>
    <x:row r="9">
      <x:c r="A9" s="62" t="str">
        <x:v>T-008</x:v>
      </x:c>
      <x:c r="B9" s="62" t="str">
        <x:v>E02</x:v>
      </x:c>
      <x:c r="C9" s="62" t="str">
        <x:v>Auth y roles</x:v>
      </x:c>
      <x:c r="D9" s="62" t="str">
        <x:v>P0</x:v>
      </x:c>
      <x:c r="E9" s="62" t="str">
        <x:v>Crear flujo login/register</x:v>
      </x:c>
      <x:c r="F9" s="62" t="str">
        <x:v>Pantallas o componentes mínimos para autenticación.</x:v>
      </x:c>
      <x:c r="G9" s="62" t="str">
        <x:v>Sin asignar</x:v>
      </x:c>
      <x:c r="H9" s="62" t="str">
        <x:v>Backlog</x:v>
      </x:c>
      <x:c r="I9" s="62" t="str">
        <x:v>E01</x:v>
      </x:c>
      <x:c r="J9" s="62" t="str">
        <x:v>feature/auth-roles</x:v>
      </x:c>
      <x:c r="K9" s="62" t="str">
        <x:v>Frontend</x:v>
      </x:c>
      <x:c r="L9" s="62" t="str">
        <x:v>3</x:v>
      </x:c>
      <x:c r="M9" s="62" t="str"/>
      <x:c r="N9" s="62" t="str"/>
      <x:c r="O9" s="62" t="str"/>
      <x:c r="P9" s="62" t="str">
        <x:v>0%</x:v>
      </x:c>
    </x:row>
    <x:row r="10">
      <x:c r="A10" s="62" t="str">
        <x:v>T-009</x:v>
      </x:c>
      <x:c r="B10" s="62" t="str">
        <x:v>E02</x:v>
      </x:c>
      <x:c r="C10" s="62" t="str">
        <x:v>Auth y roles</x:v>
      </x:c>
      <x:c r="D10" s="62" t="str">
        <x:v>P0</x:v>
      </x:c>
      <x:c r="E10" s="62" t="str">
        <x:v>Crear profiles al registrarse</x:v>
      </x:c>
      <x:c r="F10" s="62" t="str">
        <x:v>Hook/trigger o lógica server para perfil extendido.</x:v>
      </x:c>
      <x:c r="G10" s="62" t="str">
        <x:v>Sin asignar</x:v>
      </x:c>
      <x:c r="H10" s="62" t="str">
        <x:v>Backlog</x:v>
      </x:c>
      <x:c r="I10" s="62" t="str">
        <x:v>E01</x:v>
      </x:c>
      <x:c r="J10" s="62" t="str">
        <x:v>feature/auth-roles</x:v>
      </x:c>
      <x:c r="K10" s="62" t="str">
        <x:v>Backend</x:v>
      </x:c>
      <x:c r="L10" s="62" t="str">
        <x:v>3</x:v>
      </x:c>
      <x:c r="M10" s="62" t="str"/>
      <x:c r="N10" s="62" t="str"/>
      <x:c r="O10" s="62" t="str"/>
      <x:c r="P10" s="62" t="str">
        <x:v>0%</x:v>
      </x:c>
    </x:row>
    <x:row r="11">
      <x:c r="A11" s="62" t="str">
        <x:v>T-010</x:v>
      </x:c>
      <x:c r="B11" s="62" t="str">
        <x:v>E02</x:v>
      </x:c>
      <x:c r="C11" s="62" t="str">
        <x:v>Auth y roles</x:v>
      </x:c>
      <x:c r="D11" s="62" t="str">
        <x:v>P0</x:v>
      </x:c>
      <x:c r="E11" s="62" t="str">
        <x:v>Definir roles base</x:v>
      </x:c>
      <x:c r="F11" s="62" t="str">
        <x:v>free_user, premium_user, admin y lectura desde server.</x:v>
      </x:c>
      <x:c r="G11" s="62" t="str">
        <x:v>Sin asignar</x:v>
      </x:c>
      <x:c r="H11" s="62" t="str">
        <x:v>Backlog</x:v>
      </x:c>
      <x:c r="I11" s="62" t="str">
        <x:v>E01</x:v>
      </x:c>
      <x:c r="J11" s="62" t="str">
        <x:v>feature/auth-roles</x:v>
      </x:c>
      <x:c r="K11" s="62" t="str">
        <x:v>Auth</x:v>
      </x:c>
      <x:c r="L11" s="62" t="str">
        <x:v>2</x:v>
      </x:c>
      <x:c r="M11" s="62" t="str"/>
      <x:c r="N11" s="62" t="str"/>
      <x:c r="O11" s="62" t="str"/>
      <x:c r="P11" s="62" t="str">
        <x:v>0%</x:v>
      </x:c>
    </x:row>
    <x:row r="12">
      <x:c r="A12" s="62" t="str">
        <x:v>T-011</x:v>
      </x:c>
      <x:c r="B12" s="62" t="str">
        <x:v>E02</x:v>
      </x:c>
      <x:c r="C12" s="62" t="str">
        <x:v>Auth y roles</x:v>
      </x:c>
      <x:c r="D12" s="62" t="str">
        <x:v>P0</x:v>
      </x:c>
      <x:c r="E12" s="62" t="str">
        <x:v>Proteger dashboard/admin</x:v>
      </x:c>
      <x:c r="F12" s="62" t="str">
        <x:v>Dashboard requiere sesión; admin requiere rol admin.</x:v>
      </x:c>
      <x:c r="G12" s="62" t="str">
        <x:v>Sin asignar</x:v>
      </x:c>
      <x:c r="H12" s="62" t="str">
        <x:v>Backlog</x:v>
      </x:c>
      <x:c r="I12" s="62" t="str">
        <x:v>E01</x:v>
      </x:c>
      <x:c r="J12" s="62" t="str">
        <x:v>feature/auth-roles</x:v>
      </x:c>
      <x:c r="K12" s="62" t="str">
        <x:v>Auth</x:v>
      </x:c>
      <x:c r="L12" s="62" t="str">
        <x:v>3</x:v>
      </x:c>
      <x:c r="M12" s="62" t="str"/>
      <x:c r="N12" s="62" t="str"/>
      <x:c r="O12" s="62" t="str"/>
      <x:c r="P12" s="62" t="str">
        <x:v>0%</x:v>
      </x:c>
    </x:row>
    <x:row r="13">
      <x:c r="A13" s="62" t="str">
        <x:v>T-012</x:v>
      </x:c>
      <x:c r="B13" s="62" t="str">
        <x:v>E02</x:v>
      </x:c>
      <x:c r="C13" s="62" t="str">
        <x:v>Auth y roles</x:v>
      </x:c>
      <x:c r="D13" s="62" t="str">
        <x:v>P1</x:v>
      </x:c>
      <x:c r="E13" s="62" t="str">
        <x:v>Estados UX de sesión</x:v>
      </x:c>
      <x:c r="F13" s="62" t="str">
        <x:v>Loading, usuario no autenticado, errores y logout.</x:v>
      </x:c>
      <x:c r="G13" s="62" t="str">
        <x:v>Sin asignar</x:v>
      </x:c>
      <x:c r="H13" s="62" t="str">
        <x:v>Backlog</x:v>
      </x:c>
      <x:c r="I13" s="62" t="str">
        <x:v>E01</x:v>
      </x:c>
      <x:c r="J13" s="62" t="str">
        <x:v>feature/auth-roles</x:v>
      </x:c>
      <x:c r="K13" s="62" t="str">
        <x:v>Frontend</x:v>
      </x:c>
      <x:c r="L13" s="62" t="str">
        <x:v>2</x:v>
      </x:c>
      <x:c r="M13" s="62" t="str"/>
      <x:c r="N13" s="62" t="str"/>
      <x:c r="O13" s="62" t="str"/>
      <x:c r="P13" s="62" t="str">
        <x:v>0%</x:v>
      </x:c>
    </x:row>
    <x:row r="14">
      <x:c r="A14" s="62" t="str">
        <x:v>T-013</x:v>
      </x:c>
      <x:c r="B14" s="62" t="str">
        <x:v>E03</x:v>
      </x:c>
      <x:c r="C14" s="62" t="str">
        <x:v>Planes dinámicos y paywall</x:v>
      </x:c>
      <x:c r="D14" s="62" t="str">
        <x:v>P0</x:v>
      </x:c>
      <x:c r="E14" s="62" t="str">
        <x:v>Leer planes desde Supabase</x:v>
      </x:c>
      <x:c r="F14" s="62" t="str">
        <x:v>Reemplazar planes mock por datos reales de plans/plan_features.</x:v>
      </x:c>
      <x:c r="G14" s="62" t="str">
        <x:v>Sin asignar</x:v>
      </x:c>
      <x:c r="H14" s="62" t="str">
        <x:v>Backlog</x:v>
      </x:c>
      <x:c r="I14" s="62" t="str">
        <x:v>E01,E02</x:v>
      </x:c>
      <x:c r="J14" s="62" t="str">
        <x:v>feature/dynamic-plans-paywall</x:v>
      </x:c>
      <x:c r="K14" s="62" t="str">
        <x:v>Backend</x:v>
      </x:c>
      <x:c r="L14" s="62" t="str">
        <x:v>3</x:v>
      </x:c>
      <x:c r="M14" s="62" t="str"/>
      <x:c r="N14" s="62" t="str"/>
      <x:c r="O14" s="62" t="str"/>
      <x:c r="P14" s="62" t="str">
        <x:v>0%</x:v>
      </x:c>
    </x:row>
    <x:row r="15">
      <x:c r="A15" s="62" t="str">
        <x:v>T-014</x:v>
      </x:c>
      <x:c r="B15" s="62" t="str">
        <x:v>E03</x:v>
      </x:c>
      <x:c r="C15" s="62" t="str">
        <x:v>Planes dinámicos y paywall</x:v>
      </x:c>
      <x:c r="D15" s="62" t="str">
        <x:v>P0</x:v>
      </x:c>
      <x:c r="E15" s="62" t="str">
        <x:v>Implementar entitlements</x:v>
      </x:c>
      <x:c r="F15" s="62" t="str">
        <x:v>Permisos por plan, fase, equipo, competición o pack.</x:v>
      </x:c>
      <x:c r="G15" s="62" t="str">
        <x:v>Sin asignar</x:v>
      </x:c>
      <x:c r="H15" s="62" t="str">
        <x:v>Backlog</x:v>
      </x:c>
      <x:c r="I15" s="62" t="str">
        <x:v>E01,E02</x:v>
      </x:c>
      <x:c r="J15" s="62" t="str">
        <x:v>feature/dynamic-plans-paywall</x:v>
      </x:c>
      <x:c r="K15" s="62" t="str">
        <x:v>Backend</x:v>
      </x:c>
      <x:c r="L15" s="62" t="str">
        <x:v>5</x:v>
      </x:c>
      <x:c r="M15" s="62" t="str"/>
      <x:c r="N15" s="62" t="str"/>
      <x:c r="O15" s="62" t="str"/>
      <x:c r="P15" s="62" t="str">
        <x:v>0%</x:v>
      </x:c>
    </x:row>
    <x:row r="16">
      <x:c r="A16" s="62" t="str">
        <x:v>T-015</x:v>
      </x:c>
      <x:c r="B16" s="62" t="str">
        <x:v>E03</x:v>
      </x:c>
      <x:c r="C16" s="62" t="str">
        <x:v>Planes dinámicos y paywall</x:v>
      </x:c>
      <x:c r="D16" s="62" t="str">
        <x:v>P0</x:v>
      </x:c>
      <x:c r="E16" s="62" t="str">
        <x:v>Implementar match unlocks</x:v>
      </x:c>
      <x:c r="F16" s="62" t="str">
        <x:v>Soporte real para 10 Match Pack y partidos desbloqueados.</x:v>
      </x:c>
      <x:c r="G16" s="62" t="str">
        <x:v>Sin asignar</x:v>
      </x:c>
      <x:c r="H16" s="62" t="str">
        <x:v>Backlog</x:v>
      </x:c>
      <x:c r="I16" s="62" t="str">
        <x:v>E01,E02</x:v>
      </x:c>
      <x:c r="J16" s="62" t="str">
        <x:v>feature/dynamic-plans-paywall</x:v>
      </x:c>
      <x:c r="K16" s="62" t="str">
        <x:v>Backend</x:v>
      </x:c>
      <x:c r="L16" s="62" t="str">
        <x:v>4</x:v>
      </x:c>
      <x:c r="M16" s="62" t="str"/>
      <x:c r="N16" s="62" t="str"/>
      <x:c r="O16" s="62" t="str"/>
      <x:c r="P16" s="62" t="str">
        <x:v>0%</x:v>
      </x:c>
    </x:row>
    <x:row r="17">
      <x:c r="A17" s="62" t="str">
        <x:v>T-016</x:v>
      </x:c>
      <x:c r="B17" s="62" t="str">
        <x:v>E03</x:v>
      </x:c>
      <x:c r="C17" s="62" t="str">
        <x:v>Planes dinámicos y paywall</x:v>
      </x:c>
      <x:c r="D17" s="62" t="str">
        <x:v>P0</x:v>
      </x:c>
      <x:c r="E17" s="62" t="str">
        <x:v>Filtrado backend premium</x:v>
      </x:c>
      <x:c r="F17" s="62" t="str">
        <x:v>No enviar datos premium al frontend sin permiso.</x:v>
      </x:c>
      <x:c r="G17" s="62" t="str">
        <x:v>Sin asignar</x:v>
      </x:c>
      <x:c r="H17" s="62" t="str">
        <x:v>Backlog</x:v>
      </x:c>
      <x:c r="I17" s="62" t="str">
        <x:v>E01,E02</x:v>
      </x:c>
      <x:c r="J17" s="62" t="str">
        <x:v>feature/dynamic-plans-paywall</x:v>
      </x:c>
      <x:c r="K17" s="62" t="str">
        <x:v>Backend</x:v>
      </x:c>
      <x:c r="L17" s="62" t="str">
        <x:v>5</x:v>
      </x:c>
      <x:c r="M17" s="62" t="str"/>
      <x:c r="N17" s="62" t="str"/>
      <x:c r="O17" s="62" t="str"/>
      <x:c r="P17" s="62" t="str">
        <x:v>0%</x:v>
      </x:c>
    </x:row>
    <x:row r="18">
      <x:c r="A18" s="62" t="str">
        <x:v>T-017</x:v>
      </x:c>
      <x:c r="B18" s="62" t="str">
        <x:v>E03</x:v>
      </x:c>
      <x:c r="C18" s="62" t="str">
        <x:v>Planes dinámicos y paywall</x:v>
      </x:c>
      <x:c r="D18" s="62" t="str">
        <x:v>P1</x:v>
      </x:c>
      <x:c r="E18" s="62" t="str">
        <x:v>Actualizar UI de locks</x:v>
      </x:c>
      <x:c r="F18" s="62" t="str">
        <x:v>Bloqueos visuales según access real, no solo mock.</x:v>
      </x:c>
      <x:c r="G18" s="62" t="str">
        <x:v>Sin asignar</x:v>
      </x:c>
      <x:c r="H18" s="62" t="str">
        <x:v>Backlog</x:v>
      </x:c>
      <x:c r="I18" s="62" t="str">
        <x:v>E01,E02</x:v>
      </x:c>
      <x:c r="J18" s="62" t="str">
        <x:v>feature/dynamic-plans-paywall</x:v>
      </x:c>
      <x:c r="K18" s="62" t="str">
        <x:v>Frontend</x:v>
      </x:c>
      <x:c r="L18" s="62" t="str">
        <x:v>3</x:v>
      </x:c>
      <x:c r="M18" s="62" t="str"/>
      <x:c r="N18" s="62" t="str"/>
      <x:c r="O18" s="62" t="str"/>
      <x:c r="P18" s="62" t="str">
        <x:v>0%</x:v>
      </x:c>
    </x:row>
    <x:row r="19">
      <x:c r="A19" s="62" t="str">
        <x:v>T-018</x:v>
      </x:c>
      <x:c r="B19" s="62" t="str">
        <x:v>E03</x:v>
      </x:c>
      <x:c r="C19" s="62" t="str">
        <x:v>Planes dinámicos y paywall</x:v>
      </x:c>
      <x:c r="D19" s="62" t="str">
        <x:v>P1</x:v>
      </x:c>
      <x:c r="E19" s="62" t="str">
        <x:v>Auditar casos de acceso</x:v>
      </x:c>
      <x:c r="F19" s="62" t="str">
        <x:v>Tests/manual QA para free, premium, admin, match pack.</x:v>
      </x:c>
      <x:c r="G19" s="62" t="str">
        <x:v>Sin asignar</x:v>
      </x:c>
      <x:c r="H19" s="62" t="str">
        <x:v>Backlog</x:v>
      </x:c>
      <x:c r="I19" s="62" t="str">
        <x:v>E01,E02</x:v>
      </x:c>
      <x:c r="J19" s="62" t="str">
        <x:v>feature/dynamic-plans-paywall</x:v>
      </x:c>
      <x:c r="K19" s="62" t="str">
        <x:v>QA</x:v>
      </x:c>
      <x:c r="L19" s="62" t="str">
        <x:v>3</x:v>
      </x:c>
      <x:c r="M19" s="62" t="str"/>
      <x:c r="N19" s="62" t="str"/>
      <x:c r="O19" s="62" t="str"/>
      <x:c r="P19" s="62" t="str">
        <x:v>0%</x:v>
      </x:c>
    </x:row>
    <x:row r="20">
      <x:c r="A20" s="62" t="str">
        <x:v>T-019</x:v>
      </x:c>
      <x:c r="B20" s="62" t="str">
        <x:v>E04</x:v>
      </x:c>
      <x:c r="C20" s="62" t="str">
        <x:v>Motor predictivo v0.1</x:v>
      </x:c>
      <x:c r="D20" s="62" t="str">
        <x:v>P0</x:v>
      </x:c>
      <x:c r="E20" s="62" t="str">
        <x:v>Implementar normalización</x:v>
      </x:c>
      <x:c r="F20" s="62" t="str">
        <x:v>Funciones para rating, forma, ataque, defensa, mercado y contexto.</x:v>
      </x:c>
      <x:c r="G20" s="62" t="str">
        <x:v>Sin asignar</x:v>
      </x:c>
      <x:c r="H20" s="62" t="str">
        <x:v>Backlog</x:v>
      </x:c>
      <x:c r="I20" s="62" t="str">
        <x:v>E01</x:v>
      </x:c>
      <x:c r="J20" s="62" t="str">
        <x:v>feature/prediction-engine-v01</x:v>
      </x:c>
      <x:c r="K20" s="62" t="str">
        <x:v>Modelo</x:v>
      </x:c>
      <x:c r="L20" s="62" t="str">
        <x:v>3</x:v>
      </x:c>
      <x:c r="M20" s="62" t="str"/>
      <x:c r="N20" s="62" t="str"/>
      <x:c r="O20" s="62" t="str"/>
      <x:c r="P20" s="62" t="str">
        <x:v>0%</x:v>
      </x:c>
    </x:row>
    <x:row r="21">
      <x:c r="A21" s="62" t="str">
        <x:v>T-020</x:v>
      </x:c>
      <x:c r="B21" s="62" t="str">
        <x:v>E04</x:v>
      </x:c>
      <x:c r="C21" s="62" t="str">
        <x:v>Motor predictivo v0.1</x:v>
      </x:c>
      <x:c r="D21" s="62" t="str">
        <x:v>P0</x:v>
      </x:c>
      <x:c r="E21" s="62" t="str">
        <x:v>Implementar Team Power Score</x:v>
      </x:c>
      <x:c r="F21" s="62" t="str">
        <x:v>Aplicar pesos v0.1 y scores trazables.</x:v>
      </x:c>
      <x:c r="G21" s="62" t="str">
        <x:v>Sin asignar</x:v>
      </x:c>
      <x:c r="H21" s="62" t="str">
        <x:v>Backlog</x:v>
      </x:c>
      <x:c r="I21" s="62" t="str">
        <x:v>E01</x:v>
      </x:c>
      <x:c r="J21" s="62" t="str">
        <x:v>feature/prediction-engine-v01</x:v>
      </x:c>
      <x:c r="K21" s="62" t="str">
        <x:v>Modelo</x:v>
      </x:c>
      <x:c r="L21" s="62" t="str">
        <x:v>3</x:v>
      </x:c>
      <x:c r="M21" s="62" t="str"/>
      <x:c r="N21" s="62" t="str"/>
      <x:c r="O21" s="62" t="str"/>
      <x:c r="P21" s="62" t="str">
        <x:v>0%</x:v>
      </x:c>
    </x:row>
    <x:row r="22">
      <x:c r="A22" s="62" t="str">
        <x:v>T-021</x:v>
      </x:c>
      <x:c r="B22" s="62" t="str">
        <x:v>E04</x:v>
      </x:c>
      <x:c r="C22" s="62" t="str">
        <x:v>Motor predictivo v0.1</x:v>
      </x:c>
      <x:c r="D22" s="62" t="str">
        <x:v>P0</x:v>
      </x:c>
      <x:c r="E22" s="62" t="str">
        <x:v>Implementar expected goals</x:v>
      </x:c>
      <x:c r="F22" s="62" t="str">
        <x:v>Calcular xG con límites y multiplicadores documentados.</x:v>
      </x:c>
      <x:c r="G22" s="62" t="str">
        <x:v>Sin asignar</x:v>
      </x:c>
      <x:c r="H22" s="62" t="str">
        <x:v>Backlog</x:v>
      </x:c>
      <x:c r="I22" s="62" t="str">
        <x:v>E01</x:v>
      </x:c>
      <x:c r="J22" s="62" t="str">
        <x:v>feature/prediction-engine-v01</x:v>
      </x:c>
      <x:c r="K22" s="62" t="str">
        <x:v>Modelo</x:v>
      </x:c>
      <x:c r="L22" s="62" t="str">
        <x:v>3</x:v>
      </x:c>
      <x:c r="M22" s="62" t="str"/>
      <x:c r="N22" s="62" t="str"/>
      <x:c r="O22" s="62" t="str"/>
      <x:c r="P22" s="62" t="str">
        <x:v>0%</x:v>
      </x:c>
    </x:row>
    <x:row r="23">
      <x:c r="A23" s="62" t="str">
        <x:v>T-022</x:v>
      </x:c>
      <x:c r="B23" s="62" t="str">
        <x:v>E04</x:v>
      </x:c>
      <x:c r="C23" s="62" t="str">
        <x:v>Motor predictivo v0.1</x:v>
      </x:c>
      <x:c r="D23" s="62" t="str">
        <x:v>P0</x:v>
      </x:c>
      <x:c r="E23" s="62" t="str">
        <x:v>Implementar Poisson</x:v>
      </x:c>
      <x:c r="F23" s="62" t="str">
        <x:v>Matriz de marcadores 0-5 por equipo.</x:v>
      </x:c>
      <x:c r="G23" s="62" t="str">
        <x:v>Sin asignar</x:v>
      </x:c>
      <x:c r="H23" s="62" t="str">
        <x:v>Backlog</x:v>
      </x:c>
      <x:c r="I23" s="62" t="str">
        <x:v>E01</x:v>
      </x:c>
      <x:c r="J23" s="62" t="str">
        <x:v>feature/prediction-engine-v01</x:v>
      </x:c>
      <x:c r="K23" s="62" t="str">
        <x:v>Modelo</x:v>
      </x:c>
      <x:c r="L23" s="62" t="str">
        <x:v>4</x:v>
      </x:c>
      <x:c r="M23" s="62" t="str"/>
      <x:c r="N23" s="62" t="str"/>
      <x:c r="O23" s="62" t="str"/>
      <x:c r="P23" s="62" t="str">
        <x:v>0%</x:v>
      </x:c>
    </x:row>
    <x:row r="24">
      <x:c r="A24" s="62" t="str">
        <x:v>T-023</x:v>
      </x:c>
      <x:c r="B24" s="62" t="str">
        <x:v>E04</x:v>
      </x:c>
      <x:c r="C24" s="62" t="str">
        <x:v>Motor predictivo v0.1</x:v>
      </x:c>
      <x:c r="D24" s="62" t="str">
        <x:v>P0</x:v>
      </x:c>
      <x:c r="E24" s="62" t="str">
        <x:v>Calcular mercados básicos</x:v>
      </x:c>
      <x:c r="F24" s="62" t="str">
        <x:v>1X2, OU 2.5, BTTS, marcador probable y top 3.</x:v>
      </x:c>
      <x:c r="G24" s="62" t="str">
        <x:v>Sin asignar</x:v>
      </x:c>
      <x:c r="H24" s="62" t="str">
        <x:v>Backlog</x:v>
      </x:c>
      <x:c r="I24" s="62" t="str">
        <x:v>E01</x:v>
      </x:c>
      <x:c r="J24" s="62" t="str">
        <x:v>feature/prediction-engine-v01</x:v>
      </x:c>
      <x:c r="K24" s="62" t="str">
        <x:v>Modelo</x:v>
      </x:c>
      <x:c r="L24" s="62" t="str">
        <x:v>5</x:v>
      </x:c>
      <x:c r="M24" s="62" t="str"/>
      <x:c r="N24" s="62" t="str"/>
      <x:c r="O24" s="62" t="str"/>
      <x:c r="P24" s="62" t="str">
        <x:v>0%</x:v>
      </x:c>
    </x:row>
    <x:row r="25">
      <x:c r="A25" s="62" t="str">
        <x:v>T-024</x:v>
      </x:c>
      <x:c r="B25" s="62" t="str">
        <x:v>E04</x:v>
      </x:c>
      <x:c r="C25" s="62" t="str">
        <x:v>Motor predictivo v0.1</x:v>
      </x:c>
      <x:c r="D25" s="62" t="str">
        <x:v>P0</x:v>
      </x:c>
      <x:c r="E25" s="62" t="str">
        <x:v>Calcular confidence/risk</x:v>
      </x:c>
      <x:c r="F25" s="62" t="str">
        <x:v>Scores explicables según calidad, gap, mercado, lineups y estabilidad.</x:v>
      </x:c>
      <x:c r="G25" s="62" t="str">
        <x:v>Sin asignar</x:v>
      </x:c>
      <x:c r="H25" s="62" t="str">
        <x:v>Backlog</x:v>
      </x:c>
      <x:c r="I25" s="62" t="str">
        <x:v>E01</x:v>
      </x:c>
      <x:c r="J25" s="62" t="str">
        <x:v>feature/prediction-engine-v01</x:v>
      </x:c>
      <x:c r="K25" s="62" t="str">
        <x:v>Modelo</x:v>
      </x:c>
      <x:c r="L25" s="62" t="str">
        <x:v>4</x:v>
      </x:c>
      <x:c r="M25" s="62" t="str"/>
      <x:c r="N25" s="62" t="str"/>
      <x:c r="O25" s="62" t="str"/>
      <x:c r="P25" s="62" t="str">
        <x:v>0%</x:v>
      </x:c>
    </x:row>
    <x:row r="26">
      <x:c r="A26" s="62" t="str">
        <x:v>T-025</x:v>
      </x:c>
      <x:c r="B26" s="62" t="str">
        <x:v>E04</x:v>
      </x:c>
      <x:c r="C26" s="62" t="str">
        <x:v>Motor predictivo v0.1</x:v>
      </x:c>
      <x:c r="D26" s="62" t="str">
        <x:v>P0</x:v>
      </x:c>
      <x:c r="E26" s="62" t="str">
        <x:v>Guardar prediction_versions</x:v>
      </x:c>
      <x:c r="F26" s="62" t="str">
        <x:v>Persistir predicción, mercados y metadata del modelo.</x:v>
      </x:c>
      <x:c r="G26" s="62" t="str">
        <x:v>Sin asignar</x:v>
      </x:c>
      <x:c r="H26" s="62" t="str">
        <x:v>Backlog</x:v>
      </x:c>
      <x:c r="I26" s="62" t="str">
        <x:v>E01</x:v>
      </x:c>
      <x:c r="J26" s="62" t="str">
        <x:v>feature/prediction-engine-v01</x:v>
      </x:c>
      <x:c r="K26" s="62" t="str">
        <x:v>Backend</x:v>
      </x:c>
      <x:c r="L26" s="62" t="str">
        <x:v>3</x:v>
      </x:c>
      <x:c r="M26" s="62" t="str"/>
      <x:c r="N26" s="62" t="str"/>
      <x:c r="O26" s="62" t="str"/>
      <x:c r="P26" s="62" t="str">
        <x:v>0%</x:v>
      </x:c>
    </x:row>
    <x:row r="27">
      <x:c r="A27" s="62" t="str">
        <x:v>T-026</x:v>
      </x:c>
      <x:c r="B27" s="62" t="str">
        <x:v>E04</x:v>
      </x:c>
      <x:c r="C27" s="62" t="str">
        <x:v>Motor predictivo v0.1</x:v>
      </x:c>
      <x:c r="D27" s="62" t="str">
        <x:v>P1</x:v>
      </x:c>
      <x:c r="E27" s="62" t="str">
        <x:v>Pruebas unitarias del motor</x:v>
      </x:c>
      <x:c r="F27" s="62" t="str">
        <x:v>Casos deterministas para evitar regresiones en fórmulas.</x:v>
      </x:c>
      <x:c r="G27" s="62" t="str">
        <x:v>Sin asignar</x:v>
      </x:c>
      <x:c r="H27" s="62" t="str">
        <x:v>Backlog</x:v>
      </x:c>
      <x:c r="I27" s="62" t="str">
        <x:v>E01</x:v>
      </x:c>
      <x:c r="J27" s="62" t="str">
        <x:v>feature/prediction-engine-v01</x:v>
      </x:c>
      <x:c r="K27" s="62" t="str">
        <x:v>QA</x:v>
      </x:c>
      <x:c r="L27" s="62" t="str">
        <x:v>4</x:v>
      </x:c>
      <x:c r="M27" s="62" t="str"/>
      <x:c r="N27" s="62" t="str"/>
      <x:c r="O27" s="62" t="str"/>
      <x:c r="P27" s="62" t="str">
        <x:v>0%</x:v>
      </x:c>
    </x:row>
    <x:row r="28">
      <x:c r="A28" s="62" t="str">
        <x:v>T-027</x:v>
      </x:c>
      <x:c r="B28" s="62" t="str">
        <x:v>E05</x:v>
      </x:c>
      <x:c r="C28" s="62" t="str">
        <x:v>API deportiva</x:v>
      </x:c>
      <x:c r="D28" s="62" t="str">
        <x:v>P1</x:v>
      </x:c>
      <x:c r="E28" s="62" t="str">
        <x:v>Evaluar API-Football vs Sportmonks</x:v>
      </x:c>
      <x:c r="F28" s="62" t="str">
        <x:v>Comparar cobertura Mundial, lineups, odds, límites, costo y docs.</x:v>
      </x:c>
      <x:c r="G28" s="62" t="str">
        <x:v>Sin asignar</x:v>
      </x:c>
      <x:c r="H28" s="62" t="str">
        <x:v>Backlog</x:v>
      </x:c>
      <x:c r="I28" s="62" t="str">
        <x:v>E01</x:v>
      </x:c>
      <x:c r="J28" s="62" t="str">
        <x:v>feature/football-api</x:v>
      </x:c>
      <x:c r="K28" s="62" t="str">
        <x:v>APIs</x:v>
      </x:c>
      <x:c r="L28" s="62" t="str">
        <x:v>3</x:v>
      </x:c>
      <x:c r="M28" s="62" t="str"/>
      <x:c r="N28" s="62" t="str"/>
      <x:c r="O28" s="62" t="str"/>
      <x:c r="P28" s="62" t="str">
        <x:v>0%</x:v>
      </x:c>
    </x:row>
    <x:row r="29">
      <x:c r="A29" s="62" t="str">
        <x:v>T-028</x:v>
      </x:c>
      <x:c r="B29" s="62" t="str">
        <x:v>E05</x:v>
      </x:c>
      <x:c r="C29" s="62" t="str">
        <x:v>API deportiva</x:v>
      </x:c>
      <x:c r="D29" s="62" t="str">
        <x:v>P1</x:v>
      </x:c>
      <x:c r="E29" s="62" t="str">
        <x:v>Crear adapter football provider</x:v>
      </x:c>
      <x:c r="F29" s="62" t="str">
        <x:v>Interfaz común para cambiar proveedor sin tocar UI.</x:v>
      </x:c>
      <x:c r="G29" s="62" t="str">
        <x:v>Sin asignar</x:v>
      </x:c>
      <x:c r="H29" s="62" t="str">
        <x:v>Backlog</x:v>
      </x:c>
      <x:c r="I29" s="62" t="str">
        <x:v>E01</x:v>
      </x:c>
      <x:c r="J29" s="62" t="str">
        <x:v>feature/football-api</x:v>
      </x:c>
      <x:c r="K29" s="62" t="str">
        <x:v>Backend</x:v>
      </x:c>
      <x:c r="L29" s="62" t="str">
        <x:v>3</x:v>
      </x:c>
      <x:c r="M29" s="62" t="str"/>
      <x:c r="N29" s="62" t="str"/>
      <x:c r="O29" s="62" t="str"/>
      <x:c r="P29" s="62" t="str">
        <x:v>0%</x:v>
      </x:c>
    </x:row>
    <x:row r="30">
      <x:c r="A30" s="62" t="str">
        <x:v>T-029</x:v>
      </x:c>
      <x:c r="B30" s="62" t="str">
        <x:v>E05</x:v>
      </x:c>
      <x:c r="C30" s="62" t="str">
        <x:v>API deportiva</x:v>
      </x:c>
      <x:c r="D30" s="62" t="str">
        <x:v>P1</x:v>
      </x:c>
      <x:c r="E30" s="62" t="str">
        <x:v>Sync fixtures</x:v>
      </x:c>
      <x:c r="F30" s="62" t="str">
        <x:v>Poblar partidos reales con external_id y estado.</x:v>
      </x:c>
      <x:c r="G30" s="62" t="str">
        <x:v>Sin asignar</x:v>
      </x:c>
      <x:c r="H30" s="62" t="str">
        <x:v>Backlog</x:v>
      </x:c>
      <x:c r="I30" s="62" t="str">
        <x:v>E01</x:v>
      </x:c>
      <x:c r="J30" s="62" t="str">
        <x:v>feature/football-api</x:v>
      </x:c>
      <x:c r="K30" s="62" t="str">
        <x:v>Workers</x:v>
      </x:c>
      <x:c r="L30" s="62" t="str">
        <x:v>4</x:v>
      </x:c>
      <x:c r="M30" s="62" t="str"/>
      <x:c r="N30" s="62" t="str"/>
      <x:c r="O30" s="62" t="str"/>
      <x:c r="P30" s="62" t="str">
        <x:v>0%</x:v>
      </x:c>
    </x:row>
    <x:row r="31">
      <x:c r="A31" s="62" t="str">
        <x:v>T-030</x:v>
      </x:c>
      <x:c r="B31" s="62" t="str">
        <x:v>E05</x:v>
      </x:c>
      <x:c r="C31" s="62" t="str">
        <x:v>API deportiva</x:v>
      </x:c>
      <x:c r="D31" s="62" t="str">
        <x:v>P1</x:v>
      </x:c>
      <x:c r="E31" s="62" t="str">
        <x:v>Sync teams/venues</x:v>
      </x:c>
      <x:c r="F31" s="62" t="str">
        <x:v>Poblar equipos, logos/banderas y sedes.</x:v>
      </x:c>
      <x:c r="G31" s="62" t="str">
        <x:v>Sin asignar</x:v>
      </x:c>
      <x:c r="H31" s="62" t="str">
        <x:v>Backlog</x:v>
      </x:c>
      <x:c r="I31" s="62" t="str">
        <x:v>E01</x:v>
      </x:c>
      <x:c r="J31" s="62" t="str">
        <x:v>feature/football-api</x:v>
      </x:c>
      <x:c r="K31" s="62" t="str">
        <x:v>Workers</x:v>
      </x:c>
      <x:c r="L31" s="62" t="str">
        <x:v>3</x:v>
      </x:c>
      <x:c r="M31" s="62" t="str"/>
      <x:c r="N31" s="62" t="str"/>
      <x:c r="O31" s="62" t="str"/>
      <x:c r="P31" s="62" t="str">
        <x:v>0%</x:v>
      </x:c>
    </x:row>
    <x:row r="32">
      <x:c r="A32" s="62" t="str">
        <x:v>T-031</x:v>
      </x:c>
      <x:c r="B32" s="62" t="str">
        <x:v>E05</x:v>
      </x:c>
      <x:c r="C32" s="62" t="str">
        <x:v>API deportiva</x:v>
      </x:c>
      <x:c r="D32" s="62" t="str">
        <x:v>P1</x:v>
      </x:c>
      <x:c r="E32" s="62" t="str">
        <x:v>Sync results/status</x:v>
      </x:c>
      <x:c r="F32" s="62" t="str">
        <x:v>Actualizar live/finished y resultados finales.</x:v>
      </x:c>
      <x:c r="G32" s="62" t="str">
        <x:v>Sin asignar</x:v>
      </x:c>
      <x:c r="H32" s="62" t="str">
        <x:v>Backlog</x:v>
      </x:c>
      <x:c r="I32" s="62" t="str">
        <x:v>E01</x:v>
      </x:c>
      <x:c r="J32" s="62" t="str">
        <x:v>feature/football-api</x:v>
      </x:c>
      <x:c r="K32" s="62" t="str">
        <x:v>Workers</x:v>
      </x:c>
      <x:c r="L32" s="62" t="str">
        <x:v>3</x:v>
      </x:c>
      <x:c r="M32" s="62" t="str"/>
      <x:c r="N32" s="62" t="str"/>
      <x:c r="O32" s="62" t="str"/>
      <x:c r="P32" s="62" t="str">
        <x:v>0%</x:v>
      </x:c>
    </x:row>
    <x:row r="33">
      <x:c r="A33" s="62" t="str">
        <x:v>T-032</x:v>
      </x:c>
      <x:c r="B33" s="62" t="str">
        <x:v>E05</x:v>
      </x:c>
      <x:c r="C33" s="62" t="str">
        <x:v>API deportiva</x:v>
      </x:c>
      <x:c r="D33" s="62" t="str">
        <x:v>P1</x:v>
      </x:c>
      <x:c r="E33" s="62" t="str">
        <x:v>Sync lineups con fallback</x:v>
      </x:c>
      <x:c r="F33" s="62" t="str">
        <x:v>Alineaciones probables/confirmadas con manejo de ausencia de datos.</x:v>
      </x:c>
      <x:c r="G33" s="62" t="str">
        <x:v>Sin asignar</x:v>
      </x:c>
      <x:c r="H33" s="62" t="str">
        <x:v>Backlog</x:v>
      </x:c>
      <x:c r="I33" s="62" t="str">
        <x:v>E01</x:v>
      </x:c>
      <x:c r="J33" s="62" t="str">
        <x:v>feature/football-api</x:v>
      </x:c>
      <x:c r="K33" s="62" t="str">
        <x:v>Workers</x:v>
      </x:c>
      <x:c r="L33" s="62" t="str">
        <x:v>4</x:v>
      </x:c>
      <x:c r="M33" s="62" t="str"/>
      <x:c r="N33" s="62" t="str"/>
      <x:c r="O33" s="62" t="str"/>
      <x:c r="P33" s="62" t="str">
        <x:v>0%</x:v>
      </x:c>
    </x:row>
    <x:row r="34">
      <x:c r="A34" s="62" t="str">
        <x:v>T-033</x:v>
      </x:c>
      <x:c r="B34" s="62" t="str">
        <x:v>E06</x:v>
      </x:c>
      <x:c r="C34" s="62" t="str">
        <x:v>Odds y Model vs Market</x:v>
      </x:c>
      <x:c r="D34" s="62" t="str">
        <x:v>P1</x:v>
      </x:c>
      <x:c r="E34" s="62" t="str">
        <x:v>Elegir proveedor de odds</x:v>
      </x:c>
      <x:c r="F34" s="62" t="str">
        <x:v>Cobertura, costo, límites y mercados disponibles.</x:v>
      </x:c>
      <x:c r="G34" s="62" t="str">
        <x:v>Sin asignar</x:v>
      </x:c>
      <x:c r="H34" s="62" t="str">
        <x:v>Backlog</x:v>
      </x:c>
      <x:c r="I34" s="62" t="str">
        <x:v>E01,E04</x:v>
      </x:c>
      <x:c r="J34" s="62" t="str">
        <x:v>feature/odds-model-market</x:v>
      </x:c>
      <x:c r="K34" s="62" t="str">
        <x:v>APIs</x:v>
      </x:c>
      <x:c r="L34" s="62" t="str">
        <x:v>2</x:v>
      </x:c>
      <x:c r="M34" s="62" t="str"/>
      <x:c r="N34" s="62" t="str"/>
      <x:c r="O34" s="62" t="str"/>
      <x:c r="P34" s="62" t="str">
        <x:v>0%</x:v>
      </x:c>
    </x:row>
    <x:row r="35">
      <x:c r="A35" s="62" t="str">
        <x:v>T-034</x:v>
      </x:c>
      <x:c r="B35" s="62" t="str">
        <x:v>E06</x:v>
      </x:c>
      <x:c r="C35" s="62" t="str">
        <x:v>Odds y Model vs Market</x:v>
      </x:c>
      <x:c r="D35" s="62" t="str">
        <x:v>P1</x:v>
      </x:c>
      <x:c r="E35" s="62" t="str">
        <x:v>Crear adapter odds provider</x:v>
      </x:c>
      <x:c r="F35" s="62" t="str">
        <x:v>Interfaz fetchOdds normalizada por match/market/bookmaker.</x:v>
      </x:c>
      <x:c r="G35" s="62" t="str">
        <x:v>Sin asignar</x:v>
      </x:c>
      <x:c r="H35" s="62" t="str">
        <x:v>Backlog</x:v>
      </x:c>
      <x:c r="I35" s="62" t="str">
        <x:v>E01,E04</x:v>
      </x:c>
      <x:c r="J35" s="62" t="str">
        <x:v>feature/odds-model-market</x:v>
      </x:c>
      <x:c r="K35" s="62" t="str">
        <x:v>Backend</x:v>
      </x:c>
      <x:c r="L35" s="62" t="str">
        <x:v>3</x:v>
      </x:c>
      <x:c r="M35" s="62" t="str"/>
      <x:c r="N35" s="62" t="str"/>
      <x:c r="O35" s="62" t="str"/>
      <x:c r="P35" s="62" t="str">
        <x:v>0%</x:v>
      </x:c>
    </x:row>
    <x:row r="36">
      <x:c r="A36" s="62" t="str">
        <x:v>T-035</x:v>
      </x:c>
      <x:c r="B36" s="62" t="str">
        <x:v>E06</x:v>
      </x:c>
      <x:c r="C36" s="62" t="str">
        <x:v>Odds y Model vs Market</x:v>
      </x:c>
      <x:c r="D36" s="62" t="str">
        <x:v>P1</x:v>
      </x:c>
      <x:c r="E36" s="62" t="str">
        <x:v>Guardar odds snapshots</x:v>
      </x:c>
      <x:c r="F36" s="62" t="str">
        <x:v>Histórico de cuotas e implied probability normalizada.</x:v>
      </x:c>
      <x:c r="G36" s="62" t="str">
        <x:v>Sin asignar</x:v>
      </x:c>
      <x:c r="H36" s="62" t="str">
        <x:v>Backlog</x:v>
      </x:c>
      <x:c r="I36" s="62" t="str">
        <x:v>E01,E04</x:v>
      </x:c>
      <x:c r="J36" s="62" t="str">
        <x:v>feature/odds-model-market</x:v>
      </x:c>
      <x:c r="K36" s="62" t="str">
        <x:v>DB</x:v>
      </x:c>
      <x:c r="L36" s="62" t="str">
        <x:v>3</x:v>
      </x:c>
      <x:c r="M36" s="62" t="str"/>
      <x:c r="N36" s="62" t="str"/>
      <x:c r="O36" s="62" t="str"/>
      <x:c r="P36" s="62" t="str">
        <x:v>0%</x:v>
      </x:c>
    </x:row>
    <x:row r="37">
      <x:c r="A37" s="62" t="str">
        <x:v>T-036</x:v>
      </x:c>
      <x:c r="B37" s="62" t="str">
        <x:v>E06</x:v>
      </x:c>
      <x:c r="C37" s="62" t="str">
        <x:v>Odds y Model vs Market</x:v>
      </x:c>
      <x:c r="D37" s="62" t="str">
        <x:v>P1</x:v>
      </x:c>
      <x:c r="E37" s="62" t="str">
        <x:v>Calcular Model vs Market real</x:v>
      </x:c>
      <x:c r="F37" s="62" t="str">
        <x:v>Edge por mercado con lenguaje no agresivo.</x:v>
      </x:c>
      <x:c r="G37" s="62" t="str">
        <x:v>Sin asignar</x:v>
      </x:c>
      <x:c r="H37" s="62" t="str">
        <x:v>Backlog</x:v>
      </x:c>
      <x:c r="I37" s="62" t="str">
        <x:v>E01,E04</x:v>
      </x:c>
      <x:c r="J37" s="62" t="str">
        <x:v>feature/odds-model-market</x:v>
      </x:c>
      <x:c r="K37" s="62" t="str">
        <x:v>Modelo</x:v>
      </x:c>
      <x:c r="L37" s="62" t="str">
        <x:v>3</x:v>
      </x:c>
      <x:c r="M37" s="62" t="str"/>
      <x:c r="N37" s="62" t="str"/>
      <x:c r="O37" s="62" t="str"/>
      <x:c r="P37" s="62" t="str">
        <x:v>0%</x:v>
      </x:c>
    </x:row>
    <x:row r="38">
      <x:c r="A38" s="62" t="str">
        <x:v>T-037</x:v>
      </x:c>
      <x:c r="B38" s="62" t="str">
        <x:v>E06</x:v>
      </x:c>
      <x:c r="C38" s="62" t="str">
        <x:v>Odds y Model vs Market</x:v>
      </x:c>
      <x:c r="D38" s="62" t="str">
        <x:v>P1</x:v>
      </x:c>
      <x:c r="E38" s="62" t="str">
        <x:v>Fallback sin odds</x:v>
      </x:c>
      <x:c r="F38" s="62" t="str">
        <x:v>Ocultar sección o mostrar mensaje claro cuando falten cuotas.</x:v>
      </x:c>
      <x:c r="G38" s="62" t="str">
        <x:v>Sin asignar</x:v>
      </x:c>
      <x:c r="H38" s="62" t="str">
        <x:v>Backlog</x:v>
      </x:c>
      <x:c r="I38" s="62" t="str">
        <x:v>E01,E04</x:v>
      </x:c>
      <x:c r="J38" s="62" t="str">
        <x:v>feature/odds-model-market</x:v>
      </x:c>
      <x:c r="K38" s="62" t="str">
        <x:v>Frontend</x:v>
      </x:c>
      <x:c r="L38" s="62" t="str">
        <x:v>2</x:v>
      </x:c>
      <x:c r="M38" s="62" t="str"/>
      <x:c r="N38" s="62" t="str"/>
      <x:c r="O38" s="62" t="str"/>
      <x:c r="P38" s="62" t="str">
        <x:v>0%</x:v>
      </x:c>
    </x:row>
    <x:row r="39">
      <x:c r="A39" s="62" t="str">
        <x:v>T-038</x:v>
      </x:c>
      <x:c r="B39" s="62" t="str">
        <x:v>E07</x:v>
      </x:c>
      <x:c r="C39" s="62" t="str">
        <x:v>Workers Railway</x:v>
      </x:c>
      <x:c r="D39" s="62" t="str">
        <x:v>P1</x:v>
      </x:c>
      <x:c r="E39" s="62" t="str">
        <x:v>Crear runner común de workers</x:v>
      </x:c>
      <x:c r="F39" s="62" t="str">
        <x:v>Wrapper con logs, errores, duración y records_processed.</x:v>
      </x:c>
      <x:c r="G39" s="62" t="str">
        <x:v>Sin asignar</x:v>
      </x:c>
      <x:c r="H39" s="62" t="str">
        <x:v>Backlog</x:v>
      </x:c>
      <x:c r="I39" s="62" t="str">
        <x:v>E01,E04,E05</x:v>
      </x:c>
      <x:c r="J39" s="62" t="str">
        <x:v>feature/railway-workers</x:v>
      </x:c>
      <x:c r="K39" s="62" t="str">
        <x:v>Workers</x:v>
      </x:c>
      <x:c r="L39" s="62" t="str">
        <x:v>4</x:v>
      </x:c>
      <x:c r="M39" s="62" t="str"/>
      <x:c r="N39" s="62" t="str"/>
      <x:c r="O39" s="62" t="str"/>
      <x:c r="P39" s="62" t="str">
        <x:v>0%</x:v>
      </x:c>
    </x:row>
    <x:row r="40">
      <x:c r="A40" s="62" t="str">
        <x:v>T-039</x:v>
      </x:c>
      <x:c r="B40" s="62" t="str">
        <x:v>E07</x:v>
      </x:c>
      <x:c r="C40" s="62" t="str">
        <x:v>Workers Railway</x:v>
      </x:c>
      <x:c r="D40" s="62" t="str">
        <x:v>P1</x:v>
      </x:c>
      <x:c r="E40" s="62" t="str">
        <x:v>Implementar generate-prediction worker</x:v>
      </x:c>
      <x:c r="F40" s="62" t="str">
        <x:v>Ejecutar motor con datos disponibles y guardar versiones.</x:v>
      </x:c>
      <x:c r="G40" s="62" t="str">
        <x:v>Sin asignar</x:v>
      </x:c>
      <x:c r="H40" s="62" t="str">
        <x:v>Backlog</x:v>
      </x:c>
      <x:c r="I40" s="62" t="str">
        <x:v>E01,E04,E05</x:v>
      </x:c>
      <x:c r="J40" s="62" t="str">
        <x:v>feature/railway-workers</x:v>
      </x:c>
      <x:c r="K40" s="62" t="str">
        <x:v>Workers</x:v>
      </x:c>
      <x:c r="L40" s="62" t="str">
        <x:v>4</x:v>
      </x:c>
      <x:c r="M40" s="62" t="str"/>
      <x:c r="N40" s="62" t="str"/>
      <x:c r="O40" s="62" t="str"/>
      <x:c r="P40" s="62" t="str">
        <x:v>0%</x:v>
      </x:c>
    </x:row>
    <x:row r="41">
      <x:c r="A41" s="62" t="str">
        <x:v>T-040</x:v>
      </x:c>
      <x:c r="B41" s="62" t="str">
        <x:v>E07</x:v>
      </x:c>
      <x:c r="C41" s="62" t="str">
        <x:v>Workers Railway</x:v>
      </x:c>
      <x:c r="D41" s="62" t="str">
        <x:v>P1</x:v>
      </x:c>
      <x:c r="E41" s="62" t="str">
        <x:v>Implementar validate-results worker</x:v>
      </x:c>
      <x:c r="F41" s="62" t="str">
        <x:v>Validar aciertos y errores cuando partidos terminen.</x:v>
      </x:c>
      <x:c r="G41" s="62" t="str">
        <x:v>Sin asignar</x:v>
      </x:c>
      <x:c r="H41" s="62" t="str">
        <x:v>Backlog</x:v>
      </x:c>
      <x:c r="I41" s="62" t="str">
        <x:v>E01,E04,E05</x:v>
      </x:c>
      <x:c r="J41" s="62" t="str">
        <x:v>feature/railway-workers</x:v>
      </x:c>
      <x:c r="K41" s="62" t="str">
        <x:v>Workers</x:v>
      </x:c>
      <x:c r="L41" s="62" t="str">
        <x:v>4</x:v>
      </x:c>
      <x:c r="M41" s="62" t="str"/>
      <x:c r="N41" s="62" t="str"/>
      <x:c r="O41" s="62" t="str"/>
      <x:c r="P41" s="62" t="str">
        <x:v>0%</x:v>
      </x:c>
    </x:row>
    <x:row r="42">
      <x:c r="A42" s="62" t="str">
        <x:v>T-041</x:v>
      </x:c>
      <x:c r="B42" s="62" t="str">
        <x:v>E07</x:v>
      </x:c>
      <x:c r="C42" s="62" t="str">
        <x:v>Workers Railway</x:v>
      </x:c>
      <x:c r="D42" s="62" t="str">
        <x:v>P1</x:v>
      </x:c>
      <x:c r="E42" s="62" t="str">
        <x:v>Configurar crons Railway</x:v>
      </x:c>
      <x:c r="F42" s="62" t="str">
        <x:v>Horarios para fixtures, odds, lineups, predicciones y validación.</x:v>
      </x:c>
      <x:c r="G42" s="62" t="str">
        <x:v>Sin asignar</x:v>
      </x:c>
      <x:c r="H42" s="62" t="str">
        <x:v>Backlog</x:v>
      </x:c>
      <x:c r="I42" s="62" t="str">
        <x:v>E01,E04,E05</x:v>
      </x:c>
      <x:c r="J42" s="62" t="str">
        <x:v>feature/railway-workers</x:v>
      </x:c>
      <x:c r="K42" s="62" t="str">
        <x:v>DevOps</x:v>
      </x:c>
      <x:c r="L42" s="62" t="str">
        <x:v>3</x:v>
      </x:c>
      <x:c r="M42" s="62" t="str"/>
      <x:c r="N42" s="62" t="str"/>
      <x:c r="O42" s="62" t="str"/>
      <x:c r="P42" s="62" t="str">
        <x:v>0%</x:v>
      </x:c>
    </x:row>
    <x:row r="43">
      <x:c r="A43" s="62" t="str">
        <x:v>T-042</x:v>
      </x:c>
      <x:c r="B43" s="62" t="str">
        <x:v>E07</x:v>
      </x:c>
      <x:c r="C43" s="62" t="str">
        <x:v>Workers Railway</x:v>
      </x:c>
      <x:c r="D43" s="62" t="str">
        <x:v>P1</x:v>
      </x:c>
      <x:c r="E43" s="62" t="str">
        <x:v>Retries y manejo de errores</x:v>
      </x:c>
      <x:c r="F43" s="62" t="str">
        <x:v>Reintentos básicos y data_quality_flags si falla proveedor.</x:v>
      </x:c>
      <x:c r="G43" s="62" t="str">
        <x:v>Sin asignar</x:v>
      </x:c>
      <x:c r="H43" s="62" t="str">
        <x:v>Backlog</x:v>
      </x:c>
      <x:c r="I43" s="62" t="str">
        <x:v>E01,E04,E05</x:v>
      </x:c>
      <x:c r="J43" s="62" t="str">
        <x:v>feature/railway-workers</x:v>
      </x:c>
      <x:c r="K43" s="62" t="str">
        <x:v>Workers</x:v>
      </x:c>
      <x:c r="L43" s="62" t="str">
        <x:v>3</x:v>
      </x:c>
      <x:c r="M43" s="62" t="str"/>
      <x:c r="N43" s="62" t="str"/>
      <x:c r="O43" s="62" t="str"/>
      <x:c r="P43" s="62" t="str">
        <x:v>0%</x:v>
      </x:c>
    </x:row>
    <x:row r="44">
      <x:c r="A44" s="62" t="str">
        <x:v>T-043</x:v>
      </x:c>
      <x:c r="B44" s="62" t="str">
        <x:v>E07</x:v>
      </x:c>
      <x:c r="C44" s="62" t="str">
        <x:v>Workers Railway</x:v>
      </x:c>
      <x:c r="D44" s="62" t="str">
        <x:v>P1</x:v>
      </x:c>
      <x:c r="E44" s="62" t="str">
        <x:v>Mostrar worker_runs reales</x:v>
      </x:c>
      <x:c r="F44" s="62" t="str">
        <x:v>Conectar Admin/Beta Lab a logs reales.</x:v>
      </x:c>
      <x:c r="G44" s="62" t="str">
        <x:v>Sin asignar</x:v>
      </x:c>
      <x:c r="H44" s="62" t="str">
        <x:v>Backlog</x:v>
      </x:c>
      <x:c r="I44" s="62" t="str">
        <x:v>E01,E04,E05</x:v>
      </x:c>
      <x:c r="J44" s="62" t="str">
        <x:v>feature/railway-workers</x:v>
      </x:c>
      <x:c r="K44" s="62" t="str">
        <x:v>Frontend</x:v>
      </x:c>
      <x:c r="L44" s="62" t="str">
        <x:v>3</x:v>
      </x:c>
      <x:c r="M44" s="62" t="str"/>
      <x:c r="N44" s="62" t="str"/>
      <x:c r="O44" s="62" t="str"/>
      <x:c r="P44" s="62" t="str">
        <x:v>0%</x:v>
      </x:c>
    </x:row>
    <x:row r="45">
      <x:c r="A45" s="62" t="str">
        <x:v>T-044</x:v>
      </x:c>
      <x:c r="B45" s="62" t="str">
        <x:v>E08</x:v>
      </x:c>
      <x:c r="C45" s="62" t="str">
        <x:v>Resend y emails</x:v>
      </x:c>
      <x:c r="D45" s="62" t="str">
        <x:v>P1</x:v>
      </x:c>
      <x:c r="E45" s="62" t="str">
        <x:v>Configurar Resend staging</x:v>
      </x:c>
      <x:c r="F45" s="62" t="str">
        <x:v>Dominio/sender, API key y variables seguras.</x:v>
      </x:c>
      <x:c r="G45" s="62" t="str">
        <x:v>Sin asignar</x:v>
      </x:c>
      <x:c r="H45" s="62" t="str">
        <x:v>Backlog</x:v>
      </x:c>
      <x:c r="I45" s="62" t="str">
        <x:v>E02,E03,E07</x:v>
      </x:c>
      <x:c r="J45" s="62" t="str">
        <x:v>feature/resend-emails</x:v>
      </x:c>
      <x:c r="K45" s="62" t="str">
        <x:v>Emails</x:v>
      </x:c>
      <x:c r="L45" s="62" t="str">
        <x:v>2</x:v>
      </x:c>
      <x:c r="M45" s="62" t="str"/>
      <x:c r="N45" s="62" t="str"/>
      <x:c r="O45" s="62" t="str"/>
      <x:c r="P45" s="62" t="str">
        <x:v>0%</x:v>
      </x:c>
    </x:row>
    <x:row r="46">
      <x:c r="A46" s="62" t="str">
        <x:v>T-045</x:v>
      </x:c>
      <x:c r="B46" s="62" t="str">
        <x:v>E08</x:v>
      </x:c>
      <x:c r="C46" s="62" t="str">
        <x:v>Resend y emails</x:v>
      </x:c>
      <x:c r="D46" s="62" t="str">
        <x:v>P1</x:v>
      </x:c>
      <x:c r="E46" s="62" t="str">
        <x:v>Crear templates React Email</x:v>
      </x:c>
      <x:c r="F46" s="62" t="str">
        <x:v>Bienvenida, compra, Golden Hour, resumen diario y vencimiento.</x:v>
      </x:c>
      <x:c r="G46" s="62" t="str">
        <x:v>Sin asignar</x:v>
      </x:c>
      <x:c r="H46" s="62" t="str">
        <x:v>Backlog</x:v>
      </x:c>
      <x:c r="I46" s="62" t="str">
        <x:v>E02,E03,E07</x:v>
      </x:c>
      <x:c r="J46" s="62" t="str">
        <x:v>feature/resend-emails</x:v>
      </x:c>
      <x:c r="K46" s="62" t="str">
        <x:v>Emails</x:v>
      </x:c>
      <x:c r="L46" s="62" t="str">
        <x:v>4</x:v>
      </x:c>
      <x:c r="M46" s="62" t="str"/>
      <x:c r="N46" s="62" t="str"/>
      <x:c r="O46" s="62" t="str"/>
      <x:c r="P46" s="62" t="str">
        <x:v>0%</x:v>
      </x:c>
    </x:row>
    <x:row r="47">
      <x:c r="A47" s="62" t="str">
        <x:v>T-046</x:v>
      </x:c>
      <x:c r="B47" s="62" t="str">
        <x:v>E08</x:v>
      </x:c>
      <x:c r="C47" s="62" t="str">
        <x:v>Resend y emails</x:v>
      </x:c>
      <x:c r="D47" s="62" t="str">
        <x:v>P1</x:v>
      </x:c>
      <x:c r="E47" s="62" t="str">
        <x:v>Implementar send-email service</x:v>
      </x:c>
      <x:c r="F47" s="62" t="str">
        <x:v>Wrapper con logs en email_events.</x:v>
      </x:c>
      <x:c r="G47" s="62" t="str">
        <x:v>Sin asignar</x:v>
      </x:c>
      <x:c r="H47" s="62" t="str">
        <x:v>Backlog</x:v>
      </x:c>
      <x:c r="I47" s="62" t="str">
        <x:v>E02,E03,E07</x:v>
      </x:c>
      <x:c r="J47" s="62" t="str">
        <x:v>feature/resend-emails</x:v>
      </x:c>
      <x:c r="K47" s="62" t="str">
        <x:v>Backend</x:v>
      </x:c>
      <x:c r="L47" s="62" t="str">
        <x:v>3</x:v>
      </x:c>
      <x:c r="M47" s="62" t="str"/>
      <x:c r="N47" s="62" t="str"/>
      <x:c r="O47" s="62" t="str"/>
      <x:c r="P47" s="62" t="str">
        <x:v>0%</x:v>
      </x:c>
    </x:row>
    <x:row r="48">
      <x:c r="A48" s="62" t="str">
        <x:v>T-047</x:v>
      </x:c>
      <x:c r="B48" s="62" t="str">
        <x:v>E08</x:v>
      </x:c>
      <x:c r="C48" s="62" t="str">
        <x:v>Resend y emails</x:v>
      </x:c>
      <x:c r="D48" s="62" t="str">
        <x:v>P1</x:v>
      </x:c>
      <x:c r="E48" s="62" t="str">
        <x:v>Golden Hour Alert</x:v>
      </x:c>
      <x:c r="F48" s="62" t="str">
        <x:v>Enviar alerta a usuarios con acceso cuando haya delta relevante.</x:v>
      </x:c>
      <x:c r="G48" s="62" t="str">
        <x:v>Sin asignar</x:v>
      </x:c>
      <x:c r="H48" s="62" t="str">
        <x:v>Backlog</x:v>
      </x:c>
      <x:c r="I48" s="62" t="str">
        <x:v>E02,E03,E07</x:v>
      </x:c>
      <x:c r="J48" s="62" t="str">
        <x:v>feature/resend-emails</x:v>
      </x:c>
      <x:c r="K48" s="62" t="str">
        <x:v>Workers</x:v>
      </x:c>
      <x:c r="L48" s="62" t="str">
        <x:v>3</x:v>
      </x:c>
      <x:c r="M48" s="62" t="str"/>
      <x:c r="N48" s="62" t="str"/>
      <x:c r="O48" s="62" t="str"/>
      <x:c r="P48" s="62" t="str">
        <x:v>0%</x:v>
      </x:c>
    </x:row>
    <x:row r="49">
      <x:c r="A49" s="62" t="str">
        <x:v>T-048</x:v>
      </x:c>
      <x:c r="B49" s="62" t="str">
        <x:v>E08</x:v>
      </x:c>
      <x:c r="C49" s="62" t="str">
        <x:v>Resend y emails</x:v>
      </x:c>
      <x:c r="D49" s="62" t="str">
        <x:v>P2</x:v>
      </x:c>
      <x:c r="E49" s="62" t="str">
        <x:v>Resumen diario</x:v>
      </x:c>
      <x:c r="F49" s="62" t="str">
        <x:v>Email opcional con partidos y señales del día.</x:v>
      </x:c>
      <x:c r="G49" s="62" t="str">
        <x:v>Sin asignar</x:v>
      </x:c>
      <x:c r="H49" s="62" t="str">
        <x:v>Backlog</x:v>
      </x:c>
      <x:c r="I49" s="62" t="str">
        <x:v>E02,E03,E07</x:v>
      </x:c>
      <x:c r="J49" s="62" t="str">
        <x:v>feature/resend-emails</x:v>
      </x:c>
      <x:c r="K49" s="62" t="str">
        <x:v>Emails</x:v>
      </x:c>
      <x:c r="L49" s="62" t="str">
        <x:v>3</x:v>
      </x:c>
      <x:c r="M49" s="62" t="str"/>
      <x:c r="N49" s="62" t="str"/>
      <x:c r="O49" s="62" t="str"/>
      <x:c r="P49" s="62" t="str">
        <x:v>0%</x:v>
      </x:c>
    </x:row>
    <x:row r="50">
      <x:c r="A50" s="62" t="str">
        <x:v>T-049</x:v>
      </x:c>
      <x:c r="B50" s="62" t="str">
        <x:v>E09</x:v>
      </x:c>
      <x:c r="C50" s="62" t="str">
        <x:v>Admin/Beta Lab real</x:v>
      </x:c>
      <x:c r="D50" s="62" t="str">
        <x:v>P1</x:v>
      </x:c>
      <x:c r="E50" s="62" t="str">
        <x:v>Conectar Admin a Supabase</x:v>
      </x:c>
      <x:c r="F50" s="62" t="str">
        <x:v>Partidos, predicciones, workers y errores reales.</x:v>
      </x:c>
      <x:c r="G50" s="62" t="str">
        <x:v>Sin asignar</x:v>
      </x:c>
      <x:c r="H50" s="62" t="str">
        <x:v>Backlog</x:v>
      </x:c>
      <x:c r="I50" s="62" t="str">
        <x:v>E01,E02,E04,E07</x:v>
      </x:c>
      <x:c r="J50" s="62" t="str">
        <x:v>feature/admin-beta-lab-real</x:v>
      </x:c>
      <x:c r="K50" s="62" t="str">
        <x:v>Frontend</x:v>
      </x:c>
      <x:c r="L50" s="62" t="str">
        <x:v>4</x:v>
      </x:c>
      <x:c r="M50" s="62" t="str"/>
      <x:c r="N50" s="62" t="str"/>
      <x:c r="O50" s="62" t="str"/>
      <x:c r="P50" s="62" t="str">
        <x:v>0%</x:v>
      </x:c>
    </x:row>
    <x:row r="51">
      <x:c r="A51" s="62" t="str">
        <x:v>T-050</x:v>
      </x:c>
      <x:c r="B51" s="62" t="str">
        <x:v>E09</x:v>
      </x:c>
      <x:c r="C51" s="62" t="str">
        <x:v>Admin/Beta Lab real</x:v>
      </x:c>
      <x:c r="D51" s="62" t="str">
        <x:v>P1</x:v>
      </x:c>
      <x:c r="E51" s="62" t="str">
        <x:v>Acciones admin protegidas</x:v>
      </x:c>
      <x:c r="F51" s="62" t="str">
        <x:v>Recalcular predicción y regenerar narrativa con auditoría.</x:v>
      </x:c>
      <x:c r="G51" s="62" t="str">
        <x:v>Sin asignar</x:v>
      </x:c>
      <x:c r="H51" s="62" t="str">
        <x:v>Backlog</x:v>
      </x:c>
      <x:c r="I51" s="62" t="str">
        <x:v>E01,E02,E04,E07</x:v>
      </x:c>
      <x:c r="J51" s="62" t="str">
        <x:v>feature/admin-beta-lab-real</x:v>
      </x:c>
      <x:c r="K51" s="62" t="str">
        <x:v>Backend</x:v>
      </x:c>
      <x:c r="L51" s="62" t="str">
        <x:v>5</x:v>
      </x:c>
      <x:c r="M51" s="62" t="str"/>
      <x:c r="N51" s="62" t="str"/>
      <x:c r="O51" s="62" t="str"/>
      <x:c r="P51" s="62" t="str">
        <x:v>0%</x:v>
      </x:c>
    </x:row>
    <x:row r="52">
      <x:c r="A52" s="62" t="str">
        <x:v>T-051</x:v>
      </x:c>
      <x:c r="B52" s="62" t="str">
        <x:v>E09</x:v>
      </x:c>
      <x:c r="C52" s="62" t="str">
        <x:v>Admin/Beta Lab real</x:v>
      </x:c>
      <x:c r="D52" s="62" t="str">
        <x:v>P1</x:v>
      </x:c>
      <x:c r="E52" s="62" t="str">
        <x:v>Vista de errores/data quality</x:v>
      </x:c>
      <x:c r="F52" s="62" t="str">
        <x:v>Mostrar fallos de proveedor, missing lineups y worker errors.</x:v>
      </x:c>
      <x:c r="G52" s="62" t="str">
        <x:v>Sin asignar</x:v>
      </x:c>
      <x:c r="H52" s="62" t="str">
        <x:v>Backlog</x:v>
      </x:c>
      <x:c r="I52" s="62" t="str">
        <x:v>E01,E02,E04,E07</x:v>
      </x:c>
      <x:c r="J52" s="62" t="str">
        <x:v>feature/admin-beta-lab-real</x:v>
      </x:c>
      <x:c r="K52" s="62" t="str">
        <x:v>Frontend</x:v>
      </x:c>
      <x:c r="L52" s="62" t="str">
        <x:v>3</x:v>
      </x:c>
      <x:c r="M52" s="62" t="str"/>
      <x:c r="N52" s="62" t="str"/>
      <x:c r="O52" s="62" t="str"/>
      <x:c r="P52" s="62" t="str">
        <x:v>0%</x:v>
      </x:c>
    </x:row>
    <x:row r="53">
      <x:c r="A53" s="62" t="str">
        <x:v>T-052</x:v>
      </x:c>
      <x:c r="B53" s="62" t="str">
        <x:v>E09</x:v>
      </x:c>
      <x:c r="C53" s="62" t="str">
        <x:v>Admin/Beta Lab real</x:v>
      </x:c>
      <x:c r="D53" s="62" t="str">
        <x:v>P2</x:v>
      </x:c>
      <x:c r="E53" s="62" t="str">
        <x:v>Filtros admin</x:v>
      </x:c>
      <x:c r="F53" s="62" t="str">
        <x:v>Filtrar por competición, estado, fecha, worker y modelo.</x:v>
      </x:c>
      <x:c r="G53" s="62" t="str">
        <x:v>Sin asignar</x:v>
      </x:c>
      <x:c r="H53" s="62" t="str">
        <x:v>Backlog</x:v>
      </x:c>
      <x:c r="I53" s="62" t="str">
        <x:v>E01,E02,E04,E07</x:v>
      </x:c>
      <x:c r="J53" s="62" t="str">
        <x:v>feature/admin-beta-lab-real</x:v>
      </x:c>
      <x:c r="K53" s="62" t="str">
        <x:v>Frontend</x:v>
      </x:c>
      <x:c r="L53" s="62" t="str">
        <x:v>2</x:v>
      </x:c>
      <x:c r="M53" s="62" t="str"/>
      <x:c r="N53" s="62" t="str"/>
      <x:c r="O53" s="62" t="str"/>
      <x:c r="P53" s="62" t="str">
        <x:v>0%</x:v>
      </x:c>
    </x:row>
    <x:row r="54">
      <x:c r="A54" s="62" t="str">
        <x:v>T-053</x:v>
      </x:c>
      <x:c r="B54" s="62" t="str">
        <x:v>E10</x:v>
      </x:c>
      <x:c r="C54" s="62" t="str">
        <x:v>Transparency Center real</x:v>
      </x:c>
      <x:c r="D54" s="62" t="str">
        <x:v>P1</x:v>
      </x:c>
      <x:c r="E54" s="62" t="str">
        <x:v>Conectar métricas reales</x:v>
      </x:c>
      <x:c r="F54" s="62" t="str">
        <x:v>Calcular accuracy por mercado desde prediction_results.</x:v>
      </x:c>
      <x:c r="G54" s="62" t="str">
        <x:v>Sin asignar</x:v>
      </x:c>
      <x:c r="H54" s="62" t="str">
        <x:v>Backlog</x:v>
      </x:c>
      <x:c r="I54" s="62" t="str">
        <x:v>E01,E04,E05,E07</x:v>
      </x:c>
      <x:c r="J54" s="62" t="str">
        <x:v>feature/transparency-real</x:v>
      </x:c>
      <x:c r="K54" s="62" t="str">
        <x:v>Backend</x:v>
      </x:c>
      <x:c r="L54" s="62" t="str">
        <x:v>4</x:v>
      </x:c>
      <x:c r="M54" s="62" t="str"/>
      <x:c r="N54" s="62" t="str"/>
      <x:c r="O54" s="62" t="str"/>
      <x:c r="P54" s="62" t="str">
        <x:v>0%</x:v>
      </x:c>
    </x:row>
    <x:row r="55">
      <x:c r="A55" s="62" t="str">
        <x:v>T-054</x:v>
      </x:c>
      <x:c r="B55" s="62" t="str">
        <x:v>E10</x:v>
      </x:c>
      <x:c r="C55" s="62" t="str">
        <x:v>Transparency Center real</x:v>
      </x:c>
      <x:c r="D55" s="62" t="str">
        <x:v>P1</x:v>
      </x:c>
      <x:c r="E55" s="62" t="str">
        <x:v>Historial de predicciones</x:v>
      </x:c>
      <x:c r="F55" s="62" t="str">
        <x:v>Tabla pública con predicción, resultado y estado.</x:v>
      </x:c>
      <x:c r="G55" s="62" t="str">
        <x:v>Sin asignar</x:v>
      </x:c>
      <x:c r="H55" s="62" t="str">
        <x:v>Backlog</x:v>
      </x:c>
      <x:c r="I55" s="62" t="str">
        <x:v>E01,E04,E05,E07</x:v>
      </x:c>
      <x:c r="J55" s="62" t="str">
        <x:v>feature/transparency-real</x:v>
      </x:c>
      <x:c r="K55" s="62" t="str">
        <x:v>Frontend</x:v>
      </x:c>
      <x:c r="L55" s="62" t="str">
        <x:v>3</x:v>
      </x:c>
      <x:c r="M55" s="62" t="str"/>
      <x:c r="N55" s="62" t="str"/>
      <x:c r="O55" s="62" t="str"/>
      <x:c r="P55" s="62" t="str">
        <x:v>0%</x:v>
      </x:c>
    </x:row>
    <x:row r="56">
      <x:c r="A56" s="62" t="str">
        <x:v>T-055</x:v>
      </x:c>
      <x:c r="B56" s="62" t="str">
        <x:v>E10</x:v>
      </x:c>
      <x:c r="C56" s="62" t="str">
        <x:v>Transparency Center real</x:v>
      </x:c>
      <x:c r="D56" s="62" t="str">
        <x:v>P1</x:v>
      </x:c>
      <x:c r="E56" s="62" t="str">
        <x:v>Separar pre/post lineup</x:v>
      </x:c>
      <x:c r="F56" s="62" t="str">
        <x:v>Comparar rendimiento antes y después de alineaciones.</x:v>
      </x:c>
      <x:c r="G56" s="62" t="str">
        <x:v>Sin asignar</x:v>
      </x:c>
      <x:c r="H56" s="62" t="str">
        <x:v>Backlog</x:v>
      </x:c>
      <x:c r="I56" s="62" t="str">
        <x:v>E01,E04,E05,E07</x:v>
      </x:c>
      <x:c r="J56" s="62" t="str">
        <x:v>feature/transparency-real</x:v>
      </x:c>
      <x:c r="K56" s="62" t="str">
        <x:v>Modelo</x:v>
      </x:c>
      <x:c r="L56" s="62" t="str">
        <x:v>3</x:v>
      </x:c>
      <x:c r="M56" s="62" t="str"/>
      <x:c r="N56" s="62" t="str"/>
      <x:c r="O56" s="62" t="str"/>
      <x:c r="P56" s="62" t="str">
        <x:v>0%</x:v>
      </x:c>
    </x:row>
    <x:row r="57">
      <x:c r="A57" s="62" t="str">
        <x:v>T-056</x:v>
      </x:c>
      <x:c r="B57" s="62" t="str">
        <x:v>E10</x:v>
      </x:c>
      <x:c r="C57" s="62" t="str">
        <x:v>Transparency Center real</x:v>
      </x:c>
      <x:c r="D57" s="62" t="str">
        <x:v>P1</x:v>
      </x:c>
      <x:c r="E57" s="62" t="str">
        <x:v>Disclaimers y explicación</x:v>
      </x:c>
      <x:c r="F57" s="62" t="str">
        <x:v>Texto claro: probabilidades, no asesoría financiera.</x:v>
      </x:c>
      <x:c r="G57" s="62" t="str">
        <x:v>Sin asignar</x:v>
      </x:c>
      <x:c r="H57" s="62" t="str">
        <x:v>Backlog</x:v>
      </x:c>
      <x:c r="I57" s="62" t="str">
        <x:v>E01,E04,E05,E07</x:v>
      </x:c>
      <x:c r="J57" s="62" t="str">
        <x:v>feature/transparency-real</x:v>
      </x:c>
      <x:c r="K57" s="62" t="str">
        <x:v>Producto</x:v>
      </x:c>
      <x:c r="L57" s="62" t="str">
        <x:v>2</x:v>
      </x:c>
      <x:c r="M57" s="62" t="str"/>
      <x:c r="N57" s="62" t="str"/>
      <x:c r="O57" s="62" t="str"/>
      <x:c r="P57" s="62" t="str">
        <x:v>0%</x:v>
      </x:c>
    </x:row>
    <x:row r="58">
      <x:c r="A58" s="62" t="str">
        <x:v>T-057</x:v>
      </x:c>
      <x:c r="B58" s="62" t="str">
        <x:v>E11</x:v>
      </x:c>
      <x:c r="C58" s="62" t="str">
        <x:v>UI polish y mobile</x:v>
      </x:c>
      <x:c r="D58" s="62" t="str">
        <x:v>P2</x:v>
      </x:c>
      <x:c r="E58" s="62" t="str">
        <x:v>Revisión mobile real</x:v>
      </x:c>
      <x:c r="F58" s="62" t="str">
        <x:v>Navbar, cards, tablas, pricing y admin en celular.</x:v>
      </x:c>
      <x:c r="G58" s="62" t="str">
        <x:v>Sin asignar</x:v>
      </x:c>
      <x:c r="H58" s="62" t="str">
        <x:v>Backlog</x:v>
      </x:c>
      <x:c r="I58" s="62" t="str"/>
      <x:c r="J58" s="62" t="str">
        <x:v>feature/ui-polish-mobile</x:v>
      </x:c>
      <x:c r="K58" s="62" t="str">
        <x:v>Frontend</x:v>
      </x:c>
      <x:c r="L58" s="62" t="str">
        <x:v>3</x:v>
      </x:c>
      <x:c r="M58" s="62" t="str"/>
      <x:c r="N58" s="62" t="str"/>
      <x:c r="O58" s="62" t="str"/>
      <x:c r="P58" s="62" t="str">
        <x:v>0%</x:v>
      </x:c>
    </x:row>
    <x:row r="59">
      <x:c r="A59" s="62" t="str">
        <x:v>T-058</x:v>
      </x:c>
      <x:c r="B59" s="62" t="str">
        <x:v>E11</x:v>
      </x:c>
      <x:c r="C59" s="62" t="str">
        <x:v>UI polish y mobile</x:v>
      </x:c>
      <x:c r="D59" s="62" t="str">
        <x:v>P2</x:v>
      </x:c>
      <x:c r="E59" s="62" t="str">
        <x:v>Estados loading/empty/error</x:v>
      </x:c>
      <x:c r="F59" s="62" t="str">
        <x:v>Componentes para datos reales faltantes o fallos.</x:v>
      </x:c>
      <x:c r="G59" s="62" t="str">
        <x:v>Sin asignar</x:v>
      </x:c>
      <x:c r="H59" s="62" t="str">
        <x:v>Backlog</x:v>
      </x:c>
      <x:c r="I59" s="62" t="str"/>
      <x:c r="J59" s="62" t="str">
        <x:v>feature/ui-polish-mobile</x:v>
      </x:c>
      <x:c r="K59" s="62" t="str">
        <x:v>Frontend</x:v>
      </x:c>
      <x:c r="L59" s="62" t="str">
        <x:v>3</x:v>
      </x:c>
      <x:c r="M59" s="62" t="str"/>
      <x:c r="N59" s="62" t="str"/>
      <x:c r="O59" s="62" t="str"/>
      <x:c r="P59" s="62" t="str">
        <x:v>0%</x:v>
      </x:c>
    </x:row>
    <x:row r="60">
      <x:c r="A60" s="62" t="str">
        <x:v>T-059</x:v>
      </x:c>
      <x:c r="B60" s="62" t="str">
        <x:v>E11</x:v>
      </x:c>
      <x:c r="C60" s="62" t="str">
        <x:v>UI polish y mobile</x:v>
      </x:c>
      <x:c r="D60" s="62" t="str">
        <x:v>P2</x:v>
      </x:c>
      <x:c r="E60" s="62" t="str">
        <x:v>Accesibilidad básica</x:v>
      </x:c>
      <x:c r="F60" s="62" t="str">
        <x:v>Contraste, focus, labels, navegación teclado.</x:v>
      </x:c>
      <x:c r="G60" s="62" t="str">
        <x:v>Sin asignar</x:v>
      </x:c>
      <x:c r="H60" s="62" t="str">
        <x:v>Backlog</x:v>
      </x:c>
      <x:c r="I60" s="62" t="str"/>
      <x:c r="J60" s="62" t="str">
        <x:v>feature/ui-polish-mobile</x:v>
      </x:c>
      <x:c r="K60" s="62" t="str">
        <x:v>QA</x:v>
      </x:c>
      <x:c r="L60" s="62" t="str">
        <x:v>2</x:v>
      </x:c>
      <x:c r="M60" s="62" t="str"/>
      <x:c r="N60" s="62" t="str"/>
      <x:c r="O60" s="62" t="str"/>
      <x:c r="P60" s="62" t="str">
        <x:v>0%</x:v>
      </x:c>
    </x:row>
    <x:row r="61">
      <x:c r="A61" s="62" t="str">
        <x:v>T-060</x:v>
      </x:c>
      <x:c r="B61" s="62" t="str">
        <x:v>E11</x:v>
      </x:c>
      <x:c r="C61" s="62" t="str">
        <x:v>UI polish y mobile</x:v>
      </x:c>
      <x:c r="D61" s="62" t="str">
        <x:v>P2</x:v>
      </x:c>
      <x:c r="E61" s="62" t="str">
        <x:v>Branding assets finales</x:v>
      </x:c>
      <x:c r="F61" s="62" t="str">
        <x:v>Favicon optimizado, logos transparentes, social preview.</x:v>
      </x:c>
      <x:c r="G61" s="62" t="str">
        <x:v>Sin asignar</x:v>
      </x:c>
      <x:c r="H61" s="62" t="str">
        <x:v>Backlog</x:v>
      </x:c>
      <x:c r="I61" s="62" t="str"/>
      <x:c r="J61" s="62" t="str">
        <x:v>feature/ui-polish-mobile</x:v>
      </x:c>
      <x:c r="K61" s="62" t="str">
        <x:v>Diseño</x:v>
      </x:c>
      <x:c r="L61" s="62" t="str">
        <x:v>3</x:v>
      </x:c>
      <x:c r="M61" s="62" t="str"/>
      <x:c r="N61" s="62" t="str"/>
      <x:c r="O61" s="62" t="str"/>
      <x:c r="P61" s="62" t="str">
        <x:v>0%</x:v>
      </x:c>
    </x:row>
    <x:row r="62">
      <x:c r="A62" s="62" t="str">
        <x:v>T-061</x:v>
      </x:c>
      <x:c r="B62" s="62" t="str">
        <x:v>E12</x:v>
      </x:c>
      <x:c r="C62" s="62" t="str">
        <x:v>Deploy y staging</x:v>
      </x:c>
      <x:c r="D62" s="62" t="str">
        <x:v>P0</x:v>
      </x:c>
      <x:c r="E62" s="62" t="str">
        <x:v>Configurar Railway project</x:v>
      </x:c>
      <x:c r="F62" s="62" t="str">
        <x:v>Build command, start command y variables base.</x:v>
      </x:c>
      <x:c r="G62" s="62" t="str">
        <x:v>Sin asignar</x:v>
      </x:c>
      <x:c r="H62" s="62" t="str">
        <x:v>Backlog</x:v>
      </x:c>
      <x:c r="I62" s="62" t="str">
        <x:v>E01</x:v>
      </x:c>
      <x:c r="J62" s="62" t="str">
        <x:v>feature/staging-deploy</x:v>
      </x:c>
      <x:c r="K62" s="62" t="str">
        <x:v>DevOps</x:v>
      </x:c>
      <x:c r="L62" s="62" t="str">
        <x:v>3</x:v>
      </x:c>
      <x:c r="M62" s="62" t="str"/>
      <x:c r="N62" s="62" t="str"/>
      <x:c r="O62" s="62" t="str"/>
      <x:c r="P62" s="62" t="str">
        <x:v>0%</x:v>
      </x:c>
    </x:row>
    <x:row r="63">
      <x:c r="A63" s="62" t="str">
        <x:v>T-062</x:v>
      </x:c>
      <x:c r="B63" s="62" t="str">
        <x:v>E12</x:v>
      </x:c>
      <x:c r="C63" s="62" t="str">
        <x:v>Deploy y staging</x:v>
      </x:c>
      <x:c r="D63" s="62" t="str">
        <x:v>P0</x:v>
      </x:c>
      <x:c r="E63" s="62" t="str">
        <x:v>Staging deploy desde main/develop</x:v>
      </x:c>
      <x:c r="F63" s="62" t="str">
        <x:v>URL estable para revisión del equipo.</x:v>
      </x:c>
      <x:c r="G63" s="62" t="str">
        <x:v>Sin asignar</x:v>
      </x:c>
      <x:c r="H63" s="62" t="str">
        <x:v>Backlog</x:v>
      </x:c>
      <x:c r="I63" s="62" t="str">
        <x:v>E01</x:v>
      </x:c>
      <x:c r="J63" s="62" t="str">
        <x:v>feature/staging-deploy</x:v>
      </x:c>
      <x:c r="K63" s="62" t="str">
        <x:v>DevOps</x:v>
      </x:c>
      <x:c r="L63" s="62" t="str">
        <x:v>3</x:v>
      </x:c>
      <x:c r="M63" s="62" t="str"/>
      <x:c r="N63" s="62" t="str"/>
      <x:c r="O63" s="62" t="str"/>
      <x:c r="P63" s="62" t="str">
        <x:v>0%</x:v>
      </x:c>
    </x:row>
    <x:row r="64">
      <x:c r="A64" s="62" t="str">
        <x:v>T-063</x:v>
      </x:c>
      <x:c r="B64" s="62" t="str">
        <x:v>E12</x:v>
      </x:c>
      <x:c r="C64" s="62" t="str">
        <x:v>Deploy y staging</x:v>
      </x:c>
      <x:c r="D64" s="62" t="str">
        <x:v>P0</x:v>
      </x:c>
      <x:c r="E64" s="62" t="str">
        <x:v>Configurar variables seguras</x:v>
      </x:c>
      <x:c r="F64" s="62" t="str">
        <x:v>Supabase, Resend, API providers y LLM sin secretos en repo.</x:v>
      </x:c>
      <x:c r="G64" s="62" t="str">
        <x:v>Sin asignar</x:v>
      </x:c>
      <x:c r="H64" s="62" t="str">
        <x:v>Backlog</x:v>
      </x:c>
      <x:c r="I64" s="62" t="str">
        <x:v>E01</x:v>
      </x:c>
      <x:c r="J64" s="62" t="str">
        <x:v>feature/staging-deploy</x:v>
      </x:c>
      <x:c r="K64" s="62" t="str">
        <x:v>DevOps</x:v>
      </x:c>
      <x:c r="L64" s="62" t="str">
        <x:v>2</x:v>
      </x:c>
      <x:c r="M64" s="62" t="str"/>
      <x:c r="N64" s="62" t="str"/>
      <x:c r="O64" s="62" t="str"/>
      <x:c r="P64" s="62" t="str">
        <x:v>0%</x:v>
      </x:c>
    </x:row>
    <x:row r="65">
      <x:c r="A65" s="62" t="str">
        <x:v>T-064</x:v>
      </x:c>
      <x:c r="B65" s="62" t="str">
        <x:v>E12</x:v>
      </x:c>
      <x:c r="C65" s="62" t="str">
        <x:v>Deploy y staging</x:v>
      </x:c>
      <x:c r="D65" s="62" t="str">
        <x:v>P1</x:v>
      </x:c>
      <x:c r="E65" s="62" t="str">
        <x:v>Documentar flujo de deploy</x:v>
      </x:c>
      <x:c r="F65" s="62" t="str">
        <x:v>README con pasos y troubleshooting.</x:v>
      </x:c>
      <x:c r="G65" s="62" t="str">
        <x:v>Sin asignar</x:v>
      </x:c>
      <x:c r="H65" s="62" t="str">
        <x:v>Backlog</x:v>
      </x:c>
      <x:c r="I65" s="62" t="str">
        <x:v>E01</x:v>
      </x:c>
      <x:c r="J65" s="62" t="str">
        <x:v>feature/staging-deploy</x:v>
      </x:c>
      <x:c r="K65" s="62" t="str">
        <x:v>Docs</x:v>
      </x:c>
      <x:c r="L65" s="62" t="str">
        <x:v>2</x:v>
      </x:c>
      <x:c r="M65" s="62" t="str"/>
      <x:c r="N65" s="62" t="str"/>
      <x:c r="O65" s="62" t="str"/>
      <x:c r="P65" s="62" t="str">
        <x:v>0%</x:v>
      </x:c>
    </x:row>
    <x:row r="66">
      <x:c r="A66" s="63" t="str">
        <x:v>T-065</x:v>
      </x:c>
      <x:c r="B66" s="63" t="str">
        <x:v>E12</x:v>
      </x:c>
      <x:c r="C66" s="63" t="str">
        <x:v>Deploy y staging</x:v>
      </x:c>
      <x:c r="D66" s="63" t="str">
        <x:v>P1</x:v>
      </x:c>
      <x:c r="E66" s="63" t="str">
        <x:v>Smoke test de staging</x:v>
      </x:c>
      <x:c r="F66" s="63" t="str">
        <x:v>Validar rutas, build, env vars y logs.</x:v>
      </x:c>
      <x:c r="G66" s="63" t="str">
        <x:v>Sin asignar</x:v>
      </x:c>
      <x:c r="H66" s="63" t="str">
        <x:v>Backlog</x:v>
      </x:c>
      <x:c r="I66" s="63" t="str">
        <x:v>E01</x:v>
      </x:c>
      <x:c r="J66" s="63" t="str">
        <x:v>feature/staging-deploy</x:v>
      </x:c>
      <x:c r="K66" s="63" t="str">
        <x:v>QA</x:v>
      </x:c>
      <x:c r="L66" s="63" t="str">
        <x:v>2</x:v>
      </x:c>
      <x:c r="M66" s="63" t="str"/>
      <x:c r="N66" s="63" t="str"/>
      <x:c r="O66" s="63" t="str"/>
      <x:c r="P66" s="63" t="str">
        <x:v>0%</x:v>
      </x:c>
    </x:row>
  </x:sheetData>
  <x:pageMargins left="0.7" right="0.7" top="0.75" bottom="0.75" header="0.3" footer="0.3"/>
  <x:tableParts count="1">
    <x:tablePart xmlns:r="http://schemas.openxmlformats.org/officeDocument/2006/relationships" r:id="Rc76b8aef911e4ba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8" hidden="0" customWidth="1"/>
    <x:col min="4" max="4" width="38" hidden="0" customWidth="1"/>
    <x:col min="5" max="5" width="18" hidden="0" customWidth="1"/>
    <x:col min="6" max="6" width="52" hidden="0" customWidth="1"/>
    <x:col min="7" max="7" width="36" hidden="0" customWidth="1"/>
    <x:col min="8" max="8" width="44" hidden="0" customWidth="1"/>
  </x:cols>
  <x:sheetData>
    <x:row r="1">
      <x:c r="A1" s="41" t="str">
        <x:v>ID</x:v>
      </x:c>
      <x:c r="B1" s="42" t="str">
        <x:v>Fase</x:v>
      </x:c>
      <x:c r="C1" s="42" t="str">
        <x:v>Área</x:v>
      </x:c>
      <x:c r="D1" s="42" t="str">
        <x:v>Épica / tarea</x:v>
      </x:c>
      <x:c r="E1" s="42" t="str">
        <x:v>Estado</x:v>
      </x:c>
      <x:c r="F1" s="42" t="str">
        <x:v>Resultado / objetivo</x:v>
      </x:c>
      <x:c r="G1" s="42" t="str">
        <x:v>PR / Migración / rama</x:v>
      </x:c>
      <x:c r="H1" s="43" t="str">
        <x:v>Notas</x:v>
      </x:c>
    </x:row>
    <x:row r="2">
      <x:c r="A2" s="62" t="str">
        <x:v>A01</x:v>
      </x:c>
      <x:c r="B2" s="62" t="str">
        <x:v>A — Fundación técnica</x:v>
      </x:c>
      <x:c r="C2" s="62" t="str">
        <x:v>Contexto</x:v>
      </x:c>
      <x:c r="D2" s="62" t="str">
        <x:v>Project context &amp; docs foundation</x:v>
      </x:c>
      <x:c r="E2" s="62" t="str">
        <x:v>Done</x:v>
      </x:c>
      <x:c r="F2" s="62" t="str">
        <x:v>Fuentes iniciales, reglas de trabajo, handoffs y contexto del proyecto.</x:v>
      </x:c>
      <x:c r="G2" s="62" t="str">
        <x:v>feature/project-context</x:v>
      </x:c>
      <x:c r="H2" s="62" t="str">
        <x:v>Base documental inicial.</x:v>
      </x:c>
    </x:row>
    <x:row r="3">
      <x:c r="A3" s="62" t="str">
        <x:v>A02</x:v>
      </x:c>
      <x:c r="B3" s="62" t="str">
        <x:v>A — Fundación técnica</x:v>
      </x:c>
      <x:c r="C3" s="62" t="str">
        <x:v>Frontend</x:v>
      </x:c>
      <x:c r="D3" s="62" t="str">
        <x:v>Initial UFO Predictor prototype</x:v>
      </x:c>
      <x:c r="E3" s="62" t="str">
        <x:v>Done</x:v>
      </x:c>
      <x:c r="F3" s="62" t="str">
        <x:v>Prototipo Next.js/Tailwind con rutas principales y mock data.</x:v>
      </x:c>
      <x:c r="G3" s="62" t="str">
        <x:v>feature/initial-prototype</x:v>
      </x:c>
      <x:c r="H3" s="62" t="str">
        <x:v>Home, predictions, match detail, pricing, transparency, dashboard, admin.</x:v>
      </x:c>
    </x:row>
    <x:row r="4">
      <x:c r="A4" s="62" t="str">
        <x:v>A03</x:v>
      </x:c>
      <x:c r="B4" s="62" t="str">
        <x:v>A — Fundación técnica</x:v>
      </x:c>
      <x:c r="C4" s="62" t="str">
        <x:v>DB</x:v>
      </x:c>
      <x:c r="D4" s="62" t="str">
        <x:v>Initial Supabase schema</x:v>
      </x:c>
      <x:c r="E4" s="62" t="str">
        <x:v>Done</x:v>
      </x:c>
      <x:c r="F4" s="62" t="str">
        <x:v>Schema base, tablas iniciales y seed.</x:v>
      </x:c>
      <x:c r="G4" s="62" t="str">
        <x:v>feature/supabase-schema / 0001</x:v>
      </x:c>
      <x:c r="H4" s="62" t="str">
        <x:v>Supabase remoto aplicado manualmente.</x:v>
      </x:c>
    </x:row>
    <x:row r="5">
      <x:c r="A5" s="62" t="str">
        <x:v>A04</x:v>
      </x:c>
      <x:c r="B5" s="62" t="str">
        <x:v>A — Fundación técnica</x:v>
      </x:c>
      <x:c r="C5" s="62" t="str">
        <x:v>DB</x:v>
      </x:c>
      <x:c r="D5" s="62" t="str">
        <x:v>Match season/competition integrity</x:v>
      </x:c>
      <x:c r="E5" s="62" t="str">
        <x:v>Done</x:v>
      </x:c>
      <x:c r="F5" s="62" t="str">
        <x:v>Integridad entre matches, seasons y competitions reforzada.</x:v>
      </x:c>
      <x:c r="G5" s="62" t="str">
        <x:v>fix/supabase-schema-integrity</x:v>
      </x:c>
      <x:c r="H5" s="62" t="str">
        <x:v>FK compuesta y limpieza de schema.</x:v>
      </x:c>
    </x:row>
    <x:row r="6">
      <x:c r="A6" s="62" t="str">
        <x:v>A05</x:v>
      </x:c>
      <x:c r="B6" s="62" t="str">
        <x:v>A — Fundación técnica</x:v>
      </x:c>
      <x:c r="C6" s="62" t="str">
        <x:v>Supabase</x:v>
      </x:c>
      <x:c r="D6" s="62" t="str">
        <x:v>Supabase runtime clients</x:v>
      </x:c>
      <x:c r="E6" s="62" t="str">
        <x:v>Done</x:v>
      </x:c>
      <x:c r="F6" s="62" t="str">
        <x:v>Clientes Supabase browser/server/admin y setup runtime.</x:v>
      </x:c>
      <x:c r="G6" s="62" t="str">
        <x:v>feature/supabase-runtime-setup</x:v>
      </x:c>
      <x:c r="H6" s="62" t="str">
        <x:v>Base para queries server/browser.</x:v>
      </x:c>
    </x:row>
    <x:row r="7">
      <x:c r="A7" s="62" t="str">
        <x:v>A06</x:v>
      </x:c>
      <x:c r="B7" s="62" t="str">
        <x:v>A — Fundación técnica</x:v>
      </x:c>
      <x:c r="C7" s="62" t="str">
        <x:v>Auth</x:v>
      </x:c>
      <x:c r="D7" s="62" t="str">
        <x:v>Supabase auth and role guards</x:v>
      </x:c>
      <x:c r="E7" s="62" t="str">
        <x:v>Done</x:v>
      </x:c>
      <x:c r="F7" s="62" t="str">
        <x:v>Email/password auth, profiles automáticos, roles free_user/admin.</x:v>
      </x:c>
      <x:c r="G7" s="62" t="str">
        <x:v>feature/auth-roles</x:v>
      </x:c>
      <x:c r="H7" s="62" t="str">
        <x:v>Dashboard/admin protegidos.</x:v>
      </x:c>
    </x:row>
    <x:row r="8">
      <x:c r="A8" s="62" t="str">
        <x:v>A07</x:v>
      </x:c>
      <x:c r="B8" s="62" t="str">
        <x:v>A — Fundación técnica</x:v>
      </x:c>
      <x:c r="C8" s="62" t="str">
        <x:v>Tipos</x:v>
      </x:c>
      <x:c r="D8" s="62" t="str">
        <x:v>Types and contracts alignment</x:v>
      </x:c>
      <x:c r="E8" s="62" t="str">
        <x:v>Done / Iterativo</x:v>
      </x:c>
      <x:c r="F8" s="62" t="str">
        <x:v>Tipos TS y contratos actualizados conforme migraciones.</x:v>
      </x:c>
      <x:c r="G8" s="62" t="str">
        <x:v>types/database.ts</x:v>
      </x:c>
      <x:c r="H8" s="62" t="str">
        <x:v>Sigue siendo iterativo cuando cambie DB.</x:v>
      </x:c>
    </x:row>
    <x:row r="9">
      <x:c r="A9" s="62" t="str">
        <x:v>A08</x:v>
      </x:c>
      <x:c r="B9" s="62" t="str">
        <x:v>A — Fundación técnica</x:v>
      </x:c>
      <x:c r="C9" s="62" t="str">
        <x:v>UX</x:v>
      </x:c>
      <x:c r="D9" s="62" t="str">
        <x:v>Mock plans and visual paywall</x:v>
      </x:c>
      <x:c r="E9" s="62" t="str">
        <x:v>Done parcial</x:v>
      </x:c>
      <x:c r="F9" s="62" t="str">
        <x:v>Planes/locks visuales iniciales en prototipo.</x:v>
      </x:c>
      <x:c r="G9" s="62" t="str">
        <x:v>Prototype</x:v>
      </x:c>
      <x:c r="H9" s="62" t="str">
        <x:v>Luego reemplazado por entitlements backend.</x:v>
      </x:c>
    </x:row>
    <x:row r="10">
      <x:c r="A10" s="62" t="str">
        <x:v>B01</x:v>
      </x:c>
      <x:c r="B10" s="62" t="str">
        <x:v>B — Lab interno pre-Mundial</x:v>
      </x:c>
      <x:c r="C10" s="62" t="str">
        <x:v>Admin Lab</x:v>
      </x:c>
      <x:c r="D10" s="62" t="str">
        <x:v>Beta Lab Foundation</x:v>
      </x:c>
      <x:c r="E10" s="62" t="str">
        <x:v>Done</x:v>
      </x:c>
      <x:c r="F10" s="62" t="str">
        <x:v>/admin/beta-lab protegido para operación interna.</x:v>
      </x:c>
      <x:c r="G10" s="62" t="str">
        <x:v>feature/beta-lab-foundation</x:v>
      </x:c>
      <x:c r="H10" s="62" t="str">
        <x:v>internal_lab, lab_only, run_scope.</x:v>
      </x:c>
    </x:row>
    <x:row r="11">
      <x:c r="A11" s="62" t="str">
        <x:v>B02</x:v>
      </x:c>
      <x:c r="B11" s="62" t="str">
        <x:v>B — Lab interno pre-Mundial</x:v>
      </x:c>
      <x:c r="C11" s="62" t="str">
        <x:v>Data</x:v>
      </x:c>
      <x:c r="D11" s="62" t="str">
        <x:v>Data Intake Foundation / Minimal</x:v>
      </x:c>
      <x:c r="E11" s="62" t="str">
        <x:v>Done</x:v>
      </x:c>
      <x:c r="F11" s="62" t="str">
        <x:v>Fixtures/resultados mínimos, fuente/calidad de datos.</x:v>
      </x:c>
      <x:c r="G11" s="62" t="str">
        <x:v>feature/data-intake-minimal / 0004</x:v>
      </x:c>
      <x:c r="H11" s="62" t="str">
        <x:v>Base para validar datos pre-Mundial.</x:v>
      </x:c>
    </x:row>
    <x:row r="12">
      <x:c r="A12" s="62" t="str">
        <x:v>B03</x:v>
      </x:c>
      <x:c r="B12" s="62" t="str">
        <x:v>B — Lab interno pre-Mundial</x:v>
      </x:c>
      <x:c r="C12" s="62" t="str">
        <x:v>Modelo</x:v>
      </x:c>
      <x:c r="D12" s="62" t="str">
        <x:v>Prediction Engine v0.1 Lab</x:v>
      </x:c>
      <x:c r="E12" s="62" t="str">
        <x:v>Done</x:v>
      </x:c>
      <x:c r="F12" s="62" t="str">
        <x:v>Motor determinístico inicial con tests.</x:v>
      </x:c>
      <x:c r="G12" s="62" t="str">
        <x:v>lib/prediction-engine</x:v>
      </x:c>
      <x:c r="H12" s="62" t="str">
        <x:v>El modelo calcula; IA solo explica.</x:v>
      </x:c>
    </x:row>
    <x:row r="13">
      <x:c r="A13" s="62" t="str">
        <x:v>SEC01</x:v>
      </x:c>
      <x:c r="B13" s="62" t="str">
        <x:v>B — Lab interno pre-Mundial</x:v>
      </x:c>
      <x:c r="C13" s="62" t="str">
        <x:v>Security</x:v>
      </x:c>
      <x:c r="D13" s="62" t="str">
        <x:v>Restrict lab match results RLS</x:v>
      </x:c>
      <x:c r="E13" s="62" t="str">
        <x:v>Done</x:v>
      </x:c>
      <x:c r="F13" s="62" t="str">
        <x:v>RLS reforzada para resultados Lab/admin.</x:v>
      </x:c>
      <x:c r="G13" s="62" t="str">
        <x:v>RLS migration</x:v>
      </x:c>
      <x:c r="H13" s="62" t="str">
        <x:v>Admin-only donde aplica.</x:v>
      </x:c>
    </x:row>
    <x:row r="14">
      <x:c r="A14" s="62" t="str">
        <x:v>B04</x:v>
      </x:c>
      <x:c r="B14" s="62" t="str">
        <x:v>B — Lab interno pre-Mundial</x:v>
      </x:c>
      <x:c r="C14" s="62" t="str">
        <x:v>Evaluación</x:v>
      </x:c>
      <x:c r="D14" s="62" t="str">
        <x:v>Model Evaluation Lab</x:v>
      </x:c>
      <x:c r="E14" s="62" t="str">
        <x:v>Done</x:v>
      </x:c>
      <x:c r="F14" s="62" t="str">
        <x:v>Comparar predicciones contra resultados validados.</x:v>
      </x:c>
      <x:c r="G14" s="62" t="str">
        <x:v>lib/model-evaluation</x:v>
      </x:c>
      <x:c r="H14" s="62" t="str">
        <x:v>Tests incluidos.</x:v>
      </x:c>
    </x:row>
    <x:row r="15">
      <x:c r="A15" s="62" t="str">
        <x:v>B05</x:v>
      </x:c>
      <x:c r="B15" s="62" t="str">
        <x:v>B — Lab interno pre-Mundial</x:v>
      </x:c>
      <x:c r="C15" s="62" t="str">
        <x:v>Supabase</x:v>
      </x:c>
      <x:c r="D15" s="62" t="str">
        <x:v>Lab Supabase Queries</x:v>
      </x:c>
      <x:c r="E15" s="62" t="str">
        <x:v>Done</x:v>
      </x:c>
      <x:c r="F15" s="62" t="str">
        <x:v>Beta Lab lee datos reales desde Supabase.</x:v>
      </x:c>
      <x:c r="G15" s="62" t="str">
        <x:v>Lab query layer</x:v>
      </x:c>
      <x:c r="H15" s="62" t="str">
        <x:v>Mantiene Lab aislado de producto público.</x:v>
      </x:c>
    </x:row>
    <x:row r="16">
      <x:c r="A16" s="62" t="str">
        <x:v>B06a</x:v>
      </x:c>
      <x:c r="B16" s="62" t="str">
        <x:v>B — Lab interno pre-Mundial</x:v>
      </x:c>
      <x:c r="C16" s="62" t="str">
        <x:v>Admin Lab</x:v>
      </x:c>
      <x:c r="D16" s="62" t="str">
        <x:v>Lab Fixture Review Actions</x:v>
      </x:c>
      <x:c r="E16" s="62" t="str">
        <x:v>Done</x:v>
      </x:c>
      <x:c r="F16" s="62" t="str">
        <x:v>Admin puede revisar fixtures.</x:v>
      </x:c>
      <x:c r="G16" s="62" t="str">
        <x:v>PR #15 / 0007</x:v>
      </x:c>
      <x:c r="H16" s="62" t="str">
        <x:v>Campos review/status/calidad.</x:v>
      </x:c>
    </x:row>
    <x:row r="17">
      <x:c r="A17" s="62" t="str">
        <x:v>B06b</x:v>
      </x:c>
      <x:c r="B17" s="62" t="str">
        <x:v>B — Lab interno pre-Mundial</x:v>
      </x:c>
      <x:c r="C17" s="62" t="str">
        <x:v>Admin Lab</x:v>
      </x:c>
      <x:c r="D17" s="62" t="str">
        <x:v>Lab Match Result Actions</x:v>
      </x:c>
      <x:c r="E17" s="62" t="str">
        <x:v>Done</x:v>
      </x:c>
      <x:c r="F17" s="62" t="str">
        <x:v>Admin puede crear/editar match_results.</x:v>
      </x:c>
      <x:c r="G17" s="62" t="str">
        <x:v>PR #16 / 0008</x:v>
      </x:c>
      <x:c r="H17" s="62" t="str">
        <x:v>Resultados verificados o pendientes.</x:v>
      </x:c>
    </x:row>
    <x:row r="18">
      <x:c r="A18" s="62" t="str">
        <x:v>B06-pre</x:v>
      </x:c>
      <x:c r="B18" s="62" t="str">
        <x:v>B — Lab interno pre-Mundial</x:v>
      </x:c>
      <x:c r="C18" s="62" t="str">
        <x:v>Admin Lab</x:v>
      </x:c>
      <x:c r="D18" s="62" t="str">
        <x:v>Seed Internal Lab Prediction Markets</x:v>
      </x:c>
      <x:c r="E18" s="62" t="str">
        <x:v>Done</x:v>
      </x:c>
      <x:c r="F18" s="62" t="str">
        <x:v>Markets internos sembrados/readables para Lab.</x:v>
      </x:c>
      <x:c r="G18" s="62" t="str">
        <x:v>PR #17 / 0009</x:v>
      </x:c>
      <x:c r="H18" s="62" t="str">
        <x:v>No públicos.</x:v>
      </x:c>
    </x:row>
    <x:row r="19">
      <x:c r="A19" s="62" t="str">
        <x:v>B06c</x:v>
      </x:c>
      <x:c r="B19" s="62" t="str">
        <x:v>B — Lab interno pre-Mundial</x:v>
      </x:c>
      <x:c r="C19" s="62" t="str">
        <x:v>Evaluación</x:v>
      </x:c>
      <x:c r="D19" s="62" t="str">
        <x:v>Lab Evaluation Persistence</x:v>
      </x:c>
      <x:c r="E19" s="62" t="str">
        <x:v>Done</x:v>
      </x:c>
      <x:c r="F19" s="62" t="str">
        <x:v>Persistir/actualizar prediction_results desde Lab.</x:v>
      </x:c>
      <x:c r="G19" s="62" t="str">
        <x:v>PR #18 / 0010</x:v>
      </x:c>
      <x:c r="H19" s="62" t="str">
        <x:v>MVP interno de evaluación cerrado.</x:v>
      </x:c>
    </x:row>
    <x:row r="20">
      <x:c r="A20" s="62" t="str">
        <x:v>DOCS01</x:v>
      </x:c>
      <x:c r="B20" s="62" t="str">
        <x:v>B — Lab interno pre-Mundial</x:v>
      </x:c>
      <x:c r="C20" s="62" t="str">
        <x:v>Docs</x:v>
      </x:c>
      <x:c r="D20" s="62" t="str">
        <x:v>Update context after Lab Admin Flow</x:v>
      </x:c>
      <x:c r="E20" s="62" t="str">
        <x:v>Done</x:v>
      </x:c>
      <x:c r="F20" s="62" t="str">
        <x:v>Refresh documental post Lab Admin Flow.</x:v>
      </x:c>
      <x:c r="G20" s="62" t="str">
        <x:v>PR #19</x:v>
      </x:c>
      <x:c r="H20" s="62" t="str">
        <x:v>Fuentes actualizadas para no rehacer B06.</x:v>
      </x:c>
    </x:row>
    <x:row r="21">
      <x:c r="A21" s="62" t="str">
        <x:v>C01</x:v>
      </x:c>
      <x:c r="B21" s="62" t="str">
        <x:v>C — Producto público / freemium</x:v>
      </x:c>
      <x:c r="C21" s="62" t="str">
        <x:v>Public Product</x:v>
      </x:c>
      <x:c r="D21" s="62" t="str">
        <x:v>Public Predictions From DB</x:v>
      </x:c>
      <x:c r="E21" s="62" t="str">
        <x:v>Done</x:v>
      </x:c>
      <x:c r="F21" s="62" t="str">
        <x:v>/predictions lee predicciones públicas desde Supabase.</x:v>
      </x:c>
      <x:c r="G21" s="62" t="str">
        <x:v>PR #20 / 0011</x:v>
      </x:c>
      <x:c r="H21" s="62" t="str">
        <x:v>Usa public_prediction_summaries; sin premium.</x:v>
      </x:c>
    </x:row>
    <x:row r="22">
      <x:c r="A22" s="62" t="str">
        <x:v>C02</x:v>
      </x:c>
      <x:c r="B22" s="62" t="str">
        <x:v>C — Producto público / freemium</x:v>
      </x:c>
      <x:c r="C22" s="62" t="str">
        <x:v>Access</x:v>
      </x:c>
      <x:c r="D22" s="62" t="str">
        <x:v>Plans &amp; Entitlements Backend</x:v>
      </x:c>
      <x:c r="E22" s="62" t="str">
        <x:v>Done</x:v>
      </x:c>
      <x:c r="F22" s="62" t="str">
        <x:v>/pricing y /dashboard leen planes/acceso reales.</x:v>
      </x:c>
      <x:c r="G22" s="62" t="str">
        <x:v>PR #21 / 0012</x:v>
      </x:c>
      <x:c r="H22" s="62" t="str">
        <x:v>plans, subscriptions, user_entitlements, user_match_unlocks.</x:v>
      </x:c>
    </x:row>
    <x:row r="23">
      <x:c r="A23" s="62" t="str">
        <x:v>DOCS02</x:v>
      </x:c>
      <x:c r="B23" s="62" t="str">
        <x:v>C — Producto público / freemium</x:v>
      </x:c>
      <x:c r="C23" s="62" t="str">
        <x:v>Docs</x:v>
      </x:c>
      <x:c r="D23" s="62" t="str">
        <x:v>Update context after C02</x:v>
      </x:c>
      <x:c r="E23" s="62" t="str">
        <x:v>Done</x:v>
      </x:c>
      <x:c r="F23" s="62" t="str">
        <x:v>Refresh documental post C02.</x:v>
      </x:c>
      <x:c r="G23" s="62" t="str">
        <x:v>PR #22</x:v>
      </x:c>
      <x:c r="H23" s="62" t="str">
        <x:v>Actualizó baseline de planes/entitlements.</x:v>
      </x:c>
    </x:row>
    <x:row r="24">
      <x:c r="A24" s="62" t="str">
        <x:v>C03</x:v>
      </x:c>
      <x:c r="B24" s="62" t="str">
        <x:v>C — Producto público / freemium</x:v>
      </x:c>
      <x:c r="C24" s="62" t="str">
        <x:v>Public Product</x:v>
      </x:c>
      <x:c r="D24" s="62" t="str">
        <x:v>Match Detail Public From DB</x:v>
      </x:c>
      <x:c r="E24" s="62" t="str">
        <x:v>Done</x:v>
      </x:c>
      <x:c r="F24" s="62" t="str">
        <x:v>/matches/[slug] lee detalle público/free-only desde Supabase.</x:v>
      </x:c>
      <x:c r="G24" s="62" t="str">
        <x:v>PR #23 / 0013</x:v>
      </x:c>
      <x:c r="H24" s="62" t="str">
        <x:v>public_match_details + public_prediction_summaries.</x:v>
      </x:c>
    </x:row>
    <x:row r="25">
      <x:c r="A25" s="62" t="str">
        <x:v>DOCS03</x:v>
      </x:c>
      <x:c r="B25" s="62" t="str">
        <x:v>C — Producto público / freemium</x:v>
      </x:c>
      <x:c r="C25" s="62" t="str">
        <x:v>Docs</x:v>
      </x:c>
      <x:c r="D25" s="62" t="str">
        <x:v>Update project context after C03</x:v>
      </x:c>
      <x:c r="E25" s="62" t="str">
        <x:v>Done</x:v>
      </x:c>
      <x:c r="F25" s="62" t="str">
        <x:v>Refresh documental post C03.</x:v>
      </x:c>
      <x:c r="G25" s="62" t="str">
        <x:v>PR #24</x:v>
      </x:c>
      <x:c r="H25" s="62" t="str">
        <x:v>Baseline para C04.</x:v>
      </x:c>
    </x:row>
    <x:row r="26">
      <x:c r="A26" s="62" t="str">
        <x:v>C04</x:v>
      </x:c>
      <x:c r="B26" s="62" t="str">
        <x:v>C — Producto público / freemium</x:v>
      </x:c>
      <x:c r="C26" s="62" t="str">
        <x:v>Access/Security</x:v>
      </x:c>
      <x:c r="D26" s="62" t="str">
        <x:v>Premium Access Enforcement Skeleton</x:v>
      </x:c>
      <x:c r="E26" s="62" t="str">
        <x:v>Done</x:v>
      </x:c>
      <x:c r="F26" s="62" t="str">
        <x:v>Skeleton server-side para decidir acceso premium match sin servir payload.</x:v>
      </x:c>
      <x:c r="G26" s="62" t="str">
        <x:v>PR #25</x:v>
      </x:c>
      <x:c r="H26" s="62" t="str">
        <x:v>PremiumMatchResource, resolvePremiumMatchAccess, stageAccessKey, helper server-only, tests.</x:v>
      </x:c>
    </x:row>
    <x:row r="27">
      <x:c r="A27" s="62" t="str">
        <x:v>C05-G0</x:v>
      </x:c>
      <x:c r="B27" s="62" t="str">
        <x:v>C — Producto público / freemium</x:v>
      </x:c>
      <x:c r="C27" s="62" t="str">
        <x:v>Product</x:v>
      </x:c>
      <x:c r="D27" s="62" t="str">
        <x:v>Anonymous vs Registered Free Product Audit</x:v>
      </x:c>
      <x:c r="E27" s="62" t="str">
        <x:v>Done / Decisión</x:v>
      </x:c>
      <x:c r="F27" s="62" t="str">
        <x:v>Auditoría de brecha: anónimo y registrado free hoy ven casi lo mismo.</x:v>
      </x:c>
      <x:c r="G27" s="62" t="str">
        <x:v>Reconocimiento Codex</x:v>
      </x:c>
      <x:c r="H27" s="62" t="str">
        <x:v>Concluyó que hace falta value wall de registro.</x:v>
      </x:c>
    </x:row>
    <x:row r="28">
      <x:c r="A28" s="62" t="str">
        <x:v>C05-G1</x:v>
      </x:c>
      <x:c r="B28" s="62" t="str">
        <x:v>C — Producto público / freemium</x:v>
      </x:c>
      <x:c r="C28" s="62" t="str">
        <x:v>UX/Product</x:v>
      </x:c>
      <x:c r="D28" s="62" t="str">
        <x:v>Registered Free Value Wall</x:v>
      </x:c>
      <x:c r="E28" s="62" t="str">
        <x:v>Current / Next</x:v>
      </x:c>
      <x:c r="F28" s="62" t="str">
        <x:v>Hacer que registrarse gratis tenga valor visible sin SQL ni premium real.</x:v>
      </x:c>
      <x:c r="G28" s="62" t="str">
        <x:v>Pendiente</x:v>
      </x:c>
      <x:c r="H28" s="62" t="str">
        <x:v>CTAs, copy, teaser/locks seguros, dashboard free útil, pricing claro.</x:v>
      </x:c>
    </x:row>
    <x:row r="29">
      <x:c r="A29" s="62" t="str">
        <x:v>C05-G2</x:v>
      </x:c>
      <x:c r="B29" s="62" t="str">
        <x:v>C — Producto público / freemium</x:v>
      </x:c>
      <x:c r="C29" s="62" t="str">
        <x:v>Data Boundary</x:v>
      </x:c>
      <x:c r="D29" s="62" t="str">
        <x:v>Data Boundary: Anonymous vs Registered Free</x:v>
      </x:c>
      <x:c r="E29" s="62" t="str">
        <x:v>Next</x:v>
      </x:c>
      <x:c r="F29" s="62" t="str">
        <x:v>Decidir qué datos ve anónimo y qué datos pasan a registrado free.</x:v>
      </x:c>
      <x:c r="G29" s="62" t="str">
        <x:v>Pendiente</x:v>
      </x:c>
      <x:c r="H29" s="62" t="str">
        <x:v>Puede requerir nueva projection/RLS si se separa data layer.</x:v>
      </x:c>
    </x:row>
    <x:row r="30">
      <x:c r="A30" s="62" t="str">
        <x:v>C05-G3</x:v>
      </x:c>
      <x:c r="B30" s="62" t="str">
        <x:v>C — Producto público / freemium</x:v>
      </x:c>
      <x:c r="C30" s="62" t="str">
        <x:v>User Data</x:v>
      </x:c>
      <x:c r="D30" s="62" t="str">
        <x:v>Registered Free Capture Foundation</x:v>
      </x:c>
      <x:c r="E30" s="62" t="str">
        <x:v>Later</x:v>
      </x:c>
      <x:c r="F30" s="62" t="str">
        <x:v>Favoritos, watchlist, preferencias, eventos de uso/interés.</x:v>
      </x:c>
      <x:c r="G30" s="62" t="str">
        <x:v>Pendiente</x:v>
      </x:c>
      <x:c r="H30" s="62" t="str">
        <x:v>Requiere SQL/RLS si se implementa formalmente.</x:v>
      </x:c>
    </x:row>
    <x:row r="31">
      <x:c r="A31" s="62" t="str">
        <x:v>C06</x:v>
      </x:c>
      <x:c r="B31" s="62" t="str">
        <x:v>C — Producto público / freemium</x:v>
      </x:c>
      <x:c r="C31" s="62" t="str">
        <x:v>Premium</x:v>
      </x:c>
      <x:c r="D31" s="62" t="str">
        <x:v>Entitled / Premium Match Projection</x:v>
      </x:c>
      <x:c r="E31" s="62" t="str">
        <x:v>Later</x:v>
      </x:c>
      <x:c r="F31" s="62" t="str">
        <x:v>Servir contenido premium real solo a usuarios autorizados.</x:v>
      </x:c>
      <x:c r="G31" s="62" t="str">
        <x:v>Pendiente</x:v>
      </x:c>
      <x:c r="H31" s="62" t="str">
        <x:v>View/RPC/server-only query con autorización; no abrir tablas base premium.</x:v>
      </x:c>
    </x:row>
    <x:row r="32">
      <x:c r="A32" s="62" t="str">
        <x:v>C07</x:v>
      </x:c>
      <x:c r="B32" s="62" t="str">
        <x:v>C — Producto público / freemium</x:v>
      </x:c>
      <x:c r="C32" s="62" t="str">
        <x:v>Trust</x:v>
      </x:c>
      <x:c r="D32" s="62" t="str">
        <x:v>Trust / Transparency Real v0.1</x:v>
      </x:c>
      <x:c r="E32" s="62" t="str">
        <x:v>Later</x:v>
      </x:c>
      <x:c r="F32" s="62" t="str">
        <x:v>Reemplazar transparency mock por métricas reales trust-eligible.</x:v>
      </x:c>
      <x:c r="G32" s="62" t="str">
        <x:v>Pendiente</x:v>
      </x:c>
      <x:c r="H32" s="62" t="str">
        <x:v>Definir desde qué modelo/fecha cuenta el Trust Score.</x:v>
      </x:c>
    </x:row>
    <x:row r="33">
      <x:c r="A33" s="62" t="str">
        <x:v>D01</x:v>
      </x:c>
      <x:c r="B33" s="62" t="str">
        <x:v>D — Datos y automatización</x:v>
      </x:c>
      <x:c r="C33" s="62" t="str">
        <x:v>Data Provider</x:v>
      </x:c>
      <x:c r="D33" s="62" t="str">
        <x:v>Sports API Provider Decision</x:v>
      </x:c>
      <x:c r="E33" s="62" t="str">
        <x:v>Future</x:v>
      </x:c>
      <x:c r="F33" s="62" t="str">
        <x:v>Elegir proveedor de fixtures/resultados.</x:v>
      </x:c>
      <x:c r="G33" s="62" t="str">
        <x:v>Pendiente</x:v>
      </x:c>
      <x:c r="H33" s="62" t="str">
        <x:v>Criterios: cobertura Mundial/ligas, costo, cuotas, confiabilidad.</x:v>
      </x:c>
    </x:row>
    <x:row r="34">
      <x:c r="A34" s="62" t="str">
        <x:v>D02</x:v>
      </x:c>
      <x:c r="B34" s="62" t="str">
        <x:v>D — Datos y automatización</x:v>
      </x:c>
      <x:c r="C34" s="62" t="str">
        <x:v>Data Provider</x:v>
      </x:c>
      <x:c r="D34" s="62" t="str">
        <x:v>Sports API Integration</x:v>
      </x:c>
      <x:c r="E34" s="62" t="str">
        <x:v>Future</x:v>
      </x:c>
      <x:c r="F34" s="62" t="str">
        <x:v>Integrar proveedor real de datos deportivos.</x:v>
      </x:c>
      <x:c r="G34" s="62" t="str">
        <x:v>Pendiente</x:v>
      </x:c>
      <x:c r="H34" s="62" t="str">
        <x:v>Fixture/result sync real.</x:v>
      </x:c>
    </x:row>
    <x:row r="35">
      <x:c r="A35" s="62" t="str">
        <x:v>D03</x:v>
      </x:c>
      <x:c r="B35" s="62" t="str">
        <x:v>D — Datos y automatización</x:v>
      </x:c>
      <x:c r="C35" s="62" t="str">
        <x:v>Workers</x:v>
      </x:c>
      <x:c r="D35" s="62" t="str">
        <x:v>Workers Runtime</x:v>
      </x:c>
      <x:c r="E35" s="62" t="str">
        <x:v>Future</x:v>
      </x:c>
      <x:c r="F35" s="62" t="str">
        <x:v>Jobs reales para sync/generación/evaluación.</x:v>
      </x:c>
      <x:c r="G35" s="62" t="str">
        <x:v>Pendiente</x:v>
      </x:c>
      <x:c r="H35" s="62" t="str">
        <x:v>Reemplazar workerRuns mock.</x:v>
      </x:c>
    </x:row>
    <x:row r="36">
      <x:c r="A36" s="62" t="str">
        <x:v>D04</x:v>
      </x:c>
      <x:c r="B36" s="62" t="str">
        <x:v>D — Datos y automatización</x:v>
      </x:c>
      <x:c r="C36" s="62" t="str">
        <x:v>Workers</x:v>
      </x:c>
      <x:c r="D36" s="62" t="str">
        <x:v>Automated Prediction Generation</x:v>
      </x:c>
      <x:c r="E36" s="62" t="str">
        <x:v>Future</x:v>
      </x:c>
      <x:c r="F36" s="62" t="str">
        <x:v>Generar predicciones automáticamente.</x:v>
      </x:c>
      <x:c r="G36" s="62" t="str">
        <x:v>Pendiente</x:v>
      </x:c>
      <x:c r="H36" s="62" t="str">
        <x:v>Depende de data provider/workers.</x:v>
      </x:c>
    </x:row>
    <x:row r="37">
      <x:c r="A37" s="62" t="str">
        <x:v>D05</x:v>
      </x:c>
      <x:c r="B37" s="62" t="str">
        <x:v>D — Datos y automatización</x:v>
      </x:c>
      <x:c r="C37" s="62" t="str">
        <x:v>Evaluation</x:v>
      </x:c>
      <x:c r="D37" s="62" t="str">
        <x:v>Automated Evaluation</x:v>
      </x:c>
      <x:c r="E37" s="62" t="str">
        <x:v>Future</x:v>
      </x:c>
      <x:c r="F37" s="62" t="str">
        <x:v>Evaluar predicciones automáticamente con resultados reales.</x:v>
      </x:c>
      <x:c r="G37" s="62" t="str">
        <x:v>Pendiente</x:v>
      </x:c>
      <x:c r="H37" s="62" t="str">
        <x:v>Alimenta Trust/Transparency.</x:v>
      </x:c>
    </x:row>
    <x:row r="38">
      <x:c r="A38" s="62" t="str">
        <x:v>E01</x:v>
      </x:c>
      <x:c r="B38" s="62" t="str">
        <x:v>E — Comercial / Premium</x:v>
      </x:c>
      <x:c r="C38" s="62" t="str">
        <x:v>Product</x:v>
      </x:c>
      <x:c r="D38" s="62" t="str">
        <x:v>Premium Product Definition</x:v>
      </x:c>
      <x:c r="E38" s="62" t="str">
        <x:v>Future</x:v>
      </x:c>
      <x:c r="F38" s="62" t="str">
        <x:v>Definir exactamente qué desbloquea premium pago.</x:v>
      </x:c>
      <x:c r="G38" s="62" t="str">
        <x:v>Pendiente</x:v>
      </x:c>
      <x:c r="H38" s="62" t="str">
        <x:v>Post-Mundial / cuando free funnel tenga datos.</x:v>
      </x:c>
    </x:row>
    <x:row r="39">
      <x:c r="A39" s="62" t="str">
        <x:v>E02</x:v>
      </x:c>
      <x:c r="B39" s="62" t="str">
        <x:v>E — Comercial / Premium</x:v>
      </x:c>
      <x:c r="C39" s="62" t="str">
        <x:v>Access</x:v>
      </x:c>
      <x:c r="D39" s="62" t="str">
        <x:v>Premium Plans / Packs / Unlocks</x:v>
      </x:c>
      <x:c r="E39" s="62" t="str">
        <x:v>Future</x:v>
      </x:c>
      <x:c r="F39" s="62" t="str">
        <x:v>Planes pagos, packs, team/competition/stage passes.</x:v>
      </x:c>
      <x:c r="G39" s="62" t="str">
        <x:v>Pendiente</x:v>
      </x:c>
      <x:c r="H39" s="62" t="str">
        <x:v>Pocos planes visibles, permisos internos granulares.</x:v>
      </x:c>
    </x:row>
    <x:row r="40">
      <x:c r="A40" s="62" t="str">
        <x:v>E03</x:v>
      </x:c>
      <x:c r="B40" s="62" t="str">
        <x:v>E — Comercial / Premium</x:v>
      </x:c>
      <x:c r="C40" s="62" t="str">
        <x:v>Payments</x:v>
      </x:c>
      <x:c r="D40" s="62" t="str">
        <x:v>Payments / Stripe</x:v>
      </x:c>
      <x:c r="E40" s="62" t="str">
        <x:v>Future</x:v>
      </x:c>
      <x:c r="F40" s="62" t="str">
        <x:v>Checkout y pagos reales.</x:v>
      </x:c>
      <x:c r="G40" s="62" t="str">
        <x:v>Pendiente</x:v>
      </x:c>
      <x:c r="H40" s="62" t="str">
        <x:v>No antes de validar producto/valor.</x:v>
      </x:c>
    </x:row>
    <x:row r="41">
      <x:c r="A41" s="62" t="str">
        <x:v>E04</x:v>
      </x:c>
      <x:c r="B41" s="62" t="str">
        <x:v>E — Comercial / Premium</x:v>
      </x:c>
      <x:c r="C41" s="62" t="str">
        <x:v>Launch</x:v>
      </x:c>
      <x:c r="D41" s="62" t="str">
        <x:v>Post-World-Cup Premium Launch</x:v>
      </x:c>
      <x:c r="E41" s="62" t="str">
        <x:v>Future</x:v>
      </x:c>
      <x:c r="F41" s="62" t="str">
        <x:v>Convertir registrados free a pago después de validar.</x:v>
      </x:c>
      <x:c r="G41" s="62" t="str">
        <x:v>Pendiente</x:v>
      </x:c>
      <x:c r="H41" s="62" t="str">
        <x:v>Estrategia comercial post-Mundial.</x:v>
      </x:c>
    </x:row>
    <x:row r="42">
      <x:c r="A42" s="62" t="str">
        <x:v>E05</x:v>
      </x:c>
      <x:c r="B42" s="62" t="str">
        <x:v>E — Comercial / Premium</x:v>
      </x:c>
      <x:c r="C42" s="62" t="str">
        <x:v>Retention</x:v>
      </x:c>
      <x:c r="D42" s="62" t="str">
        <x:v>Retention / Notifications</x:v>
      </x:c>
      <x:c r="E42" s="62" t="str">
        <x:v>Future</x:v>
      </x:c>
      <x:c r="F42" s="62" t="str">
        <x:v>Alertas, emails, notificaciones y retención.</x:v>
      </x:c>
      <x:c r="G42" s="62" t="str">
        <x:v>Pendiente</x:v>
      </x:c>
      <x:c r="H42" s="62" t="str">
        <x:v>Puede requerir Resend/cron.</x:v>
      </x:c>
    </x:row>
    <x:row r="43">
      <x:c r="A43" s="62" t="str">
        <x:v>F01</x:v>
      </x:c>
      <x:c r="B43" s="62" t="str">
        <x:v>F — IA / Explicaciones</x:v>
      </x:c>
      <x:c r="C43" s="62" t="str">
        <x:v>Contracts</x:v>
      </x:c>
      <x:c r="D43" s="62" t="str">
        <x:v>Narrative Contracts</x:v>
      </x:c>
      <x:c r="E43" s="62" t="str">
        <x:v>Future</x:v>
      </x:c>
      <x:c r="F43" s="62" t="str">
        <x:v>Definir contratos de explicación para outputs del modelo.</x:v>
      </x:c>
      <x:c r="G43" s="62" t="str">
        <x:v>Pendiente</x:v>
      </x:c>
      <x:c r="H43" s="62" t="str">
        <x:v>La IA explica, no calcula.</x:v>
      </x:c>
    </x:row>
    <x:row r="44">
      <x:c r="A44" s="62" t="str">
        <x:v>F02</x:v>
      </x:c>
      <x:c r="B44" s="62" t="str">
        <x:v>F — IA / Explicaciones</x:v>
      </x:c>
      <x:c r="C44" s="62" t="str">
        <x:v>LLM</x:v>
      </x:c>
      <x:c r="D44" s="62" t="str">
        <x:v>LLM Explanation Layer</x:v>
      </x:c>
      <x:c r="E44" s="62" t="str">
        <x:v>Future</x:v>
      </x:c>
      <x:c r="F44" s="62" t="str">
        <x:v>Narrativas generadas por IA sobre predicciones ya calculadas.</x:v>
      </x:c>
      <x:c r="G44" s="62" t="str">
        <x:v>Pendiente</x:v>
      </x:c>
      <x:c r="H44" s="62" t="str">
        <x:v>No fuente de probabilidades.</x:v>
      </x:c>
    </x:row>
    <x:row r="45">
      <x:c r="A45" s="62" t="str">
        <x:v>F03</x:v>
      </x:c>
      <x:c r="B45" s="62" t="str">
        <x:v>F — IA / Explicaciones</x:v>
      </x:c>
      <x:c r="C45" s="62" t="str">
        <x:v>i18n/Narratives</x:v>
      </x:c>
      <x:c r="D45" s="62" t="str">
        <x:v>Multi-language Narrative Strategy</x:v>
      </x:c>
      <x:c r="E45" s="62" t="str">
        <x:v>Future</x:v>
      </x:c>
      <x:c r="F45" s="62" t="str">
        <x:v>Definir si narrativas se guardan/generan/traducen por idioma.</x:v>
      </x:c>
      <x:c r="G45" s="62" t="str">
        <x:v>Pendiente</x:v>
      </x:c>
      <x:c r="H45" s="62" t="str">
        <x:v>No antes de servir narratives.</x:v>
      </x:c>
    </x:row>
    <x:row r="46">
      <x:c r="A46" s="62" t="str">
        <x:v>G01</x:v>
      </x:c>
      <x:c r="B46" s="62" t="str">
        <x:v>G — Infra / Escala</x:v>
      </x:c>
      <x:c r="C46" s="62" t="str">
        <x:v>Deploy</x:v>
      </x:c>
      <x:c r="D46" s="62" t="str">
        <x:v>Staging</x:v>
      </x:c>
      <x:c r="E46" s="62" t="str">
        <x:v>Future</x:v>
      </x:c>
      <x:c r="F46" s="62" t="str">
        <x:v>Entorno staging/QA estable.</x:v>
      </x:c>
      <x:c r="G46" s="62" t="str">
        <x:v>Pendiente</x:v>
      </x:c>
      <x:c r="H46" s="62" t="str">
        <x:v>Antes de beta más pública.</x:v>
      </x:c>
    </x:row>
    <x:row r="47">
      <x:c r="A47" s="62" t="str">
        <x:v>G02</x:v>
      </x:c>
      <x:c r="B47" s="62" t="str">
        <x:v>G — Infra / Escala</x:v>
      </x:c>
      <x:c r="C47" s="62" t="str">
        <x:v>QA/Security</x:v>
      </x:c>
      <x:c r="D47" s="62" t="str">
        <x:v>QA/Security Pass</x:v>
      </x:c>
      <x:c r="E47" s="62" t="str">
        <x:v>Future</x:v>
      </x:c>
      <x:c r="F47" s="62" t="str">
        <x:v>Revisión RLS, rutas admin, exposición accidental.</x:v>
      </x:c>
      <x:c r="G47" s="62" t="str">
        <x:v>Pendiente</x:v>
      </x:c>
      <x:c r="H47" s="62" t="str">
        <x:v>Crítico antes de premium/public beta amplia.</x:v>
      </x:c>
    </x:row>
    <x:row r="48">
      <x:c r="A48" s="62" t="str">
        <x:v>G03</x:v>
      </x:c>
      <x:c r="B48" s="62" t="str">
        <x:v>G — Infra / Escala</x:v>
      </x:c>
      <x:c r="C48" s="62" t="str">
        <x:v>Observability</x:v>
      </x:c>
      <x:c r="D48" s="62" t="str">
        <x:v>Observability / Logging</x:v>
      </x:c>
      <x:c r="E48" s="62" t="str">
        <x:v>Future</x:v>
      </x:c>
      <x:c r="F48" s="62" t="str">
        <x:v>Monitoreo técnico y errores.</x:v>
      </x:c>
      <x:c r="G48" s="62" t="str">
        <x:v>Pendiente</x:v>
      </x:c>
      <x:c r="H48" s="62" t="str">
        <x:v>Útil al crecer tráfico.</x:v>
      </x:c>
    </x:row>
    <x:row r="49">
      <x:c r="A49" s="62" t="str">
        <x:v>G04</x:v>
      </x:c>
      <x:c r="B49" s="62" t="str">
        <x:v>G — Infra / Escala</x:v>
      </x:c>
      <x:c r="C49" s="62" t="str">
        <x:v>Dev Workflow</x:v>
      </x:c>
      <x:c r="D49" s="62" t="str">
        <x:v>Supabase CLI Local Setup</x:v>
      </x:c>
      <x:c r="E49" s="62" t="str">
        <x:v>Future</x:v>
      </x:c>
      <x:c r="F49" s="62" t="str">
        <x:v>Flujo local de migraciones más sano.</x:v>
      </x:c>
      <x:c r="G49" s="62" t="str">
        <x:v>Pendiente</x:v>
      </x:c>
      <x:c r="H49" s="62" t="str">
        <x:v>Hoy remoto se aplica manualmente.</x:v>
      </x:c>
    </x:row>
    <x:row r="50">
      <x:c r="A50" s="62" t="str">
        <x:v>G05</x:v>
      </x:c>
      <x:c r="B50" s="62" t="str">
        <x:v>G — Infra / Escala</x:v>
      </x:c>
      <x:c r="C50" s="62" t="str">
        <x:v>i18n</x:v>
      </x:c>
      <x:c r="D50" s="62" t="str">
        <x:v>Public Site EN/ES</x:v>
      </x:c>
      <x:c r="E50" s="62" t="str">
        <x:v>Future</x:v>
      </x:c>
      <x:c r="F50" s="62" t="str">
        <x:v>Sitio público bilingüe inglés/español.</x:v>
      </x:c>
      <x:c r="G50" s="62" t="str">
        <x:v>Pendiente</x:v>
      </x:c>
      <x:c r="H50" s="62" t="str">
        <x:v>Data interna canónica preferiblemente en inglés.</x:v>
      </x:c>
    </x:row>
    <x:row r="51">
      <x:c r="A51" s="63" t="str">
        <x:v>G06</x:v>
      </x:c>
      <x:c r="B51" s="63" t="str">
        <x:v>G — Infra / Escala</x:v>
      </x:c>
      <x:c r="C51" s="63" t="str">
        <x:v>Auth</x:v>
      </x:c>
      <x:c r="D51" s="63" t="str">
        <x:v>Google Auth</x:v>
      </x:c>
      <x:c r="E51" s="63" t="str">
        <x:v>Future</x:v>
      </x:c>
      <x:c r="F51" s="63" t="str">
        <x:v>Reducir fricción de registro.</x:v>
      </x:c>
      <x:c r="G51" s="63" t="str">
        <x:v>Pendiente</x:v>
      </x:c>
      <x:c r="H51" s="63" t="str">
        <x:v>Útil cuando value wall esté claro.</x:v>
      </x:c>
    </x:row>
  </x:sheetData>
  <x:pageMargins left="0.7" right="0.7" top="0.75" bottom="0.75" header="0.3" footer="0.3"/>
  <x:tableParts count="1">
    <x:tablePart xmlns:r="http://schemas.openxmlformats.org/officeDocument/2006/relationships" r:id="R1d36574462b44435"/>
  </x:tableParts>
</x:worksheet>
</file>